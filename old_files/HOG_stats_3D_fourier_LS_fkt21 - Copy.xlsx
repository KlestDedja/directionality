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media/image6.png" ContentType="image/png"/>
  <Override PartName="/xl/media/image7.png" ContentType="image/png"/>
  <Override PartName="/xl/media/image8.png" ContentType="image/png"/>
  <Override PartName="/xl/media/image9.png" ContentType="image/png"/>
  <Override PartName="/xl/media/image10.png" ContentType="image/png"/>
  <Override PartName="/xl/media/image11.png" ContentType="image/png"/>
  <Override PartName="/xl/media/image12.png" ContentType="image/png"/>
  <Override PartName="/xl/media/image13.png" ContentType="image/png"/>
  <Override PartName="/xl/media/image14.png" ContentType="image/png"/>
  <Override PartName="/xl/media/image15.png" ContentType="image/png"/>
  <Override PartName="/xl/media/image16.png" ContentType="image/png"/>
  <Override PartName="/xl/media/image17.png" ContentType="image/png"/>
  <Override PartName="/xl/media/image18.png" ContentType="image/png"/>
  <Override PartName="/xl/media/image19.png" ContentType="image/png"/>
  <Override PartName="/xl/media/image20.png" ContentType="image/png"/>
  <Override PartName="/xl/media/image21.png" ContentType="image/png"/>
  <Override PartName="/xl/media/image22.png" ContentType="image/png"/>
  <Override PartName="/xl/media/image23.png" ContentType="image/png"/>
  <Override PartName="/xl/media/image24.png" ContentType="image/png"/>
  <Override PartName="/xl/media/image25.png" ContentType="image/png"/>
  <Override PartName="/xl/media/image26.png" ContentType="image/png"/>
  <Override PartName="/xl/media/image27.png" ContentType="image/png"/>
  <Override PartName="/xl/media/image28.png" ContentType="image/png"/>
  <Override PartName="/xl/media/image29.png" ContentType="image/png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drawings/_rels/drawing3.xml.rels" ContentType="application/vnd.openxmlformats-package.relationships+xml"/>
  <Override PartName="/xl/drawings/_rels/drawing4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TR" sheetId="1" state="visible" r:id="rId3"/>
    <sheet name="2h" sheetId="2" state="visible" r:id="rId4"/>
    <sheet name="1.50.5" sheetId="3" state="visible" r:id="rId5"/>
    <sheet name="Fig fiji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<sst xmlns="http://schemas.openxmlformats.org/spreadsheetml/2006/main" count="111" uniqueCount="44">
  <si>
    <t xml:space="preserve">Directionality Measurements</t>
  </si>
  <si>
    <t xml:space="preserve">bMyoB fkt16 P2 </t>
  </si>
  <si>
    <t xml:space="preserve">column below must</t>
  </si>
  <si>
    <t xml:space="preserve">Condition: </t>
  </si>
  <si>
    <t xml:space="preserve">PEMS stimulation</t>
  </si>
  <si>
    <t xml:space="preserve"> have values &lt;= 90</t>
  </si>
  <si>
    <t xml:space="preserve">Name </t>
  </si>
  <si>
    <t xml:space="preserve">Direction °</t>
  </si>
  <si>
    <t xml:space="preserve">Fourier compon.</t>
  </si>
  <si>
    <t xml:space="preserve">Fourier fit </t>
  </si>
  <si>
    <t xml:space="preserve">Direction vs main </t>
  </si>
  <si>
    <t xml:space="preserve">D1 dispersion</t>
  </si>
  <si>
    <t xml:space="preserve">20241115 bMyoB fkt21</t>
  </si>
  <si>
    <t xml:space="preserve"> P3_ctr R2-Image Export-35_i2z70c1-2</t>
  </si>
  <si>
    <t xml:space="preserve">Amount </t>
  </si>
  <si>
    <t xml:space="preserve">D2 dispersion</t>
  </si>
  <si>
    <t xml:space="preserve">Dispersion °</t>
  </si>
  <si>
    <t xml:space="preserve">Goodness </t>
  </si>
  <si>
    <t xml:space="preserve">7-2.4)</t>
  </si>
  <si>
    <t xml:space="preserve">OLD</t>
  </si>
  <si>
    <t xml:space="preserve">NEW</t>
  </si>
  <si>
    <t xml:space="preserve">Fourier component</t>
  </si>
  <si>
    <t xml:space="preserve">Directionality vs main </t>
  </si>
  <si>
    <t xml:space="preserve">Average Directionality </t>
  </si>
  <si>
    <t xml:space="preserve">DEV.  formula (standard dev.)</t>
  </si>
  <si>
    <t xml:space="preserve">dev. formula (absolute dev.)</t>
  </si>
  <si>
    <t xml:space="preserve">0,29</t>
  </si>
  <si>
    <t xml:space="preserve">0,26</t>
  </si>
  <si>
    <t xml:space="preserve">20241115 bMyoB fkt21 P3_2h R2-Image Export-29_i2z005c1-2 (15-115)</t>
  </si>
  <si>
    <t xml:space="preserve">0,30</t>
  </si>
  <si>
    <t xml:space="preserve">0,36</t>
  </si>
  <si>
    <t xml:space="preserve">20241115 bMyoB fkt21 P3_1_5'0_5' R2-Image Export-20_i1z10c1-2 (10's)</t>
  </si>
  <si>
    <t xml:space="preserve">20241115 bMyoB fkt21 P3_1_5'0_5' R2_3-Image Export-19_i1z07c1-2</t>
  </si>
  <si>
    <t xml:space="preserve">14,71</t>
  </si>
  <si>
    <t xml:space="preserve">0,15</t>
  </si>
  <si>
    <t xml:space="preserve">20241115 bMyoB fkt21 P3_2h R1.3_i1z55_Cam1-T1</t>
  </si>
  <si>
    <t xml:space="preserve">9,93</t>
  </si>
  <si>
    <t xml:space="preserve">0,51</t>
  </si>
  <si>
    <t xml:space="preserve">0,83</t>
  </si>
  <si>
    <t xml:space="preserve">20241115 bMyoB fkt21 P3_1.5'0.5' R1.3_i1z122_Cam1-T1</t>
  </si>
  <si>
    <t xml:space="preserve">4,26</t>
  </si>
  <si>
    <t xml:space="preserve">0,59</t>
  </si>
  <si>
    <t xml:space="preserve">0,96</t>
  </si>
  <si>
    <t xml:space="preserve">20241115 bMyoB fkt21 P3_ctr R1.3_i1z039c1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</si>
</sst>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"/>
    <numFmt numFmtId="166" formatCode="0.00000"/>
    <numFmt numFmtId="167" formatCode="0.00"/>
    <numFmt numFmtId="168" formatCode="0.00000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theme="1"/>
      <name val="Calibri"/>
      <family val="2"/>
      <charset val="1"/>
    </font>
    <font>
      <sz val="11"/>
      <color theme="4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0"/>
      <color theme="1"/>
      <name val="Calibri"/>
      <family val="2"/>
      <charset val="1"/>
    </font>
    <font>
      <b val="true"/>
      <sz val="11"/>
      <color rgb="FF3F3F3F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E7E6E6"/>
      </patternFill>
    </fill>
    <fill>
      <patternFill patternType="solid">
        <fgColor theme="2"/>
        <bgColor rgb="FFF2F2F2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 style="thin"/>
      <right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8" fillId="2" borderId="1" applyFont="true" applyBorder="true" applyAlignment="true" applyProtection="false">
      <alignment horizontal="general" vertical="bottom" textRotation="0" wrapText="false" indent="0" shrinkToFit="false"/>
    </xf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3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" fillId="3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3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2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3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Output" xfId="20"/>
  </cellStyles>
  <dxfs count="4">
    <dxf>
      <font>
        <name val="Calibri"/>
        <charset val="1"/>
        <family val="2"/>
        <color rgb="FFCC0000"/>
        <sz val="11"/>
      </font>
      <fill>
        <patternFill>
          <bgColor rgb="FFFFCCCC"/>
        </patternFill>
      </fill>
    </dxf>
    <dxf>
      <font>
        <name val="Calibri"/>
        <charset val="1"/>
        <family val="2"/>
        <color rgb="FFCC0000"/>
        <sz val="11"/>
      </font>
      <fill>
        <patternFill>
          <bgColor rgb="FFFFCCCC"/>
        </patternFill>
      </fill>
    </dxf>
    <dxf>
      <font>
        <name val="Calibri"/>
        <charset val="1"/>
        <family val="2"/>
        <color rgb="FFCC0000"/>
        <sz val="11"/>
      </font>
      <fill>
        <patternFill>
          <bgColor rgb="FFFFCCCC"/>
        </patternFill>
      </fill>
    </dxf>
    <dxf>
      <font>
        <name val="Calibri"/>
        <charset val="1"/>
        <family val="2"/>
        <color rgb="FFCC0000"/>
        <sz val="11"/>
      </font>
      <fill>
        <patternFill>
          <bgColor rgb="FFFFCCCC"/>
        </patternFill>
      </fill>
    </dxf>
  </dxfs>
  <colors>
    <indexedColors>
      <rgbColor rgb="FF000000"/>
      <rgbColor rgb="FFF2F2F2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Relationship Id="rId3" Type="http://schemas.openxmlformats.org/officeDocument/2006/relationships/image" Target="../media/image11.png"/><Relationship Id="rId4" Type="http://schemas.openxmlformats.org/officeDocument/2006/relationships/image" Target="../media/image12.png"/><Relationship Id="rId5" Type="http://schemas.openxmlformats.org/officeDocument/2006/relationships/image" Target="../media/image13.png"/><Relationship Id="rId6" Type="http://schemas.openxmlformats.org/officeDocument/2006/relationships/image" Target="../media/image14.png"/><Relationship Id="rId7" Type="http://schemas.openxmlformats.org/officeDocument/2006/relationships/image" Target="../media/image15.png"/><Relationship Id="rId8" Type="http://schemas.openxmlformats.org/officeDocument/2006/relationships/image" Target="../media/image16.png"/><Relationship Id="rId9" Type="http://schemas.openxmlformats.org/officeDocument/2006/relationships/image" Target="../media/image17.png"/><Relationship Id="rId10" Type="http://schemas.openxmlformats.org/officeDocument/2006/relationships/image" Target="../media/image18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0.png"/><Relationship Id="rId3" Type="http://schemas.openxmlformats.org/officeDocument/2006/relationships/image" Target="../media/image21.png"/><Relationship Id="rId4" Type="http://schemas.openxmlformats.org/officeDocument/2006/relationships/image" Target="../media/image22.png"/><Relationship Id="rId5" Type="http://schemas.openxmlformats.org/officeDocument/2006/relationships/image" Target="../media/image23.png"/><Relationship Id="rId6" Type="http://schemas.openxmlformats.org/officeDocument/2006/relationships/image" Target="../media/image24.png"/><Relationship Id="rId7" Type="http://schemas.openxmlformats.org/officeDocument/2006/relationships/image" Target="../media/image25.png"/><Relationship Id="rId8" Type="http://schemas.openxmlformats.org/officeDocument/2006/relationships/image" Target="../media/image26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8.png"/><Relationship Id="rId3" Type="http://schemas.openxmlformats.org/officeDocument/2006/relationships/image" Target="../media/image29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57600</xdr:colOff>
      <xdr:row>17</xdr:row>
      <xdr:rowOff>172440</xdr:rowOff>
    </xdr:from>
    <xdr:to>
      <xdr:col>2</xdr:col>
      <xdr:colOff>281160</xdr:colOff>
      <xdr:row>27</xdr:row>
      <xdr:rowOff>116640</xdr:rowOff>
    </xdr:to>
    <xdr:pic>
      <xdr:nvPicPr>
        <xdr:cNvPr id="0" name="Afbeelding 12" descr=""/>
        <xdr:cNvPicPr/>
      </xdr:nvPicPr>
      <xdr:blipFill>
        <a:blip r:embed="rId1"/>
        <a:stretch/>
      </xdr:blipFill>
      <xdr:spPr>
        <a:xfrm>
          <a:off x="57600" y="3288240"/>
          <a:ext cx="3761280" cy="1753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10</xdr:col>
      <xdr:colOff>401760</xdr:colOff>
      <xdr:row>53</xdr:row>
      <xdr:rowOff>69120</xdr:rowOff>
    </xdr:from>
    <xdr:to>
      <xdr:col>18</xdr:col>
      <xdr:colOff>249120</xdr:colOff>
      <xdr:row>65</xdr:row>
      <xdr:rowOff>93960</xdr:rowOff>
    </xdr:to>
    <xdr:pic>
      <xdr:nvPicPr>
        <xdr:cNvPr id="1" name="Afbeelding 13" descr=""/>
        <xdr:cNvPicPr/>
      </xdr:nvPicPr>
      <xdr:blipFill>
        <a:blip r:embed="rId2"/>
        <a:stretch/>
      </xdr:blipFill>
      <xdr:spPr>
        <a:xfrm>
          <a:off x="11195640" y="9700200"/>
          <a:ext cx="4734000" cy="2196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124560</xdr:colOff>
      <xdr:row>97</xdr:row>
      <xdr:rowOff>152280</xdr:rowOff>
    </xdr:from>
    <xdr:to>
      <xdr:col>15</xdr:col>
      <xdr:colOff>550440</xdr:colOff>
      <xdr:row>110</xdr:row>
      <xdr:rowOff>19800</xdr:rowOff>
    </xdr:to>
    <xdr:pic>
      <xdr:nvPicPr>
        <xdr:cNvPr id="2" name="Afbeelding 14" descr=""/>
        <xdr:cNvPicPr/>
      </xdr:nvPicPr>
      <xdr:blipFill>
        <a:blip r:embed="rId3"/>
        <a:stretch/>
      </xdr:blipFill>
      <xdr:spPr>
        <a:xfrm>
          <a:off x="9696600" y="17746200"/>
          <a:ext cx="4701960" cy="22201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304920</xdr:colOff>
      <xdr:row>145</xdr:row>
      <xdr:rowOff>96840</xdr:rowOff>
    </xdr:from>
    <xdr:to>
      <xdr:col>16</xdr:col>
      <xdr:colOff>148680</xdr:colOff>
      <xdr:row>157</xdr:row>
      <xdr:rowOff>131400</xdr:rowOff>
    </xdr:to>
    <xdr:pic>
      <xdr:nvPicPr>
        <xdr:cNvPr id="3" name="Afbeelding 15" descr=""/>
        <xdr:cNvPicPr/>
      </xdr:nvPicPr>
      <xdr:blipFill>
        <a:blip r:embed="rId4"/>
        <a:stretch/>
      </xdr:blipFill>
      <xdr:spPr>
        <a:xfrm>
          <a:off x="9876960" y="26377560"/>
          <a:ext cx="4730760" cy="2206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9</xdr:col>
      <xdr:colOff>304920</xdr:colOff>
      <xdr:row>188</xdr:row>
      <xdr:rowOff>138600</xdr:rowOff>
    </xdr:from>
    <xdr:to>
      <xdr:col>17</xdr:col>
      <xdr:colOff>148320</xdr:colOff>
      <xdr:row>201</xdr:row>
      <xdr:rowOff>360</xdr:rowOff>
    </xdr:to>
    <xdr:pic>
      <xdr:nvPicPr>
        <xdr:cNvPr id="4" name="Afbeelding 16" descr=""/>
        <xdr:cNvPicPr/>
      </xdr:nvPicPr>
      <xdr:blipFill>
        <a:blip r:embed="rId5"/>
        <a:stretch/>
      </xdr:blipFill>
      <xdr:spPr>
        <a:xfrm>
          <a:off x="10487880" y="34201440"/>
          <a:ext cx="4730400" cy="2214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9</xdr:col>
      <xdr:colOff>271440</xdr:colOff>
      <xdr:row>235</xdr:row>
      <xdr:rowOff>40320</xdr:rowOff>
    </xdr:from>
    <xdr:to>
      <xdr:col>17</xdr:col>
      <xdr:colOff>167760</xdr:colOff>
      <xdr:row>247</xdr:row>
      <xdr:rowOff>59400</xdr:rowOff>
    </xdr:to>
    <xdr:pic>
      <xdr:nvPicPr>
        <xdr:cNvPr id="5" name="Afbeelding 17" descr=""/>
        <xdr:cNvPicPr/>
      </xdr:nvPicPr>
      <xdr:blipFill>
        <a:blip r:embed="rId6"/>
        <a:stretch/>
      </xdr:blipFill>
      <xdr:spPr>
        <a:xfrm>
          <a:off x="10454400" y="42608880"/>
          <a:ext cx="4783320" cy="2190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9</xdr:col>
      <xdr:colOff>161280</xdr:colOff>
      <xdr:row>276</xdr:row>
      <xdr:rowOff>109080</xdr:rowOff>
    </xdr:from>
    <xdr:to>
      <xdr:col>17</xdr:col>
      <xdr:colOff>53640</xdr:colOff>
      <xdr:row>288</xdr:row>
      <xdr:rowOff>135720</xdr:rowOff>
    </xdr:to>
    <xdr:pic>
      <xdr:nvPicPr>
        <xdr:cNvPr id="6" name="Afbeelding 19" descr=""/>
        <xdr:cNvPicPr/>
      </xdr:nvPicPr>
      <xdr:blipFill>
        <a:blip r:embed="rId7"/>
        <a:stretch/>
      </xdr:blipFill>
      <xdr:spPr>
        <a:xfrm>
          <a:off x="10344240" y="50097600"/>
          <a:ext cx="4779360" cy="2198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1011240</xdr:colOff>
      <xdr:row>325</xdr:row>
      <xdr:rowOff>55440</xdr:rowOff>
    </xdr:from>
    <xdr:to>
      <xdr:col>15</xdr:col>
      <xdr:colOff>253440</xdr:colOff>
      <xdr:row>337</xdr:row>
      <xdr:rowOff>97560</xdr:rowOff>
    </xdr:to>
    <xdr:pic>
      <xdr:nvPicPr>
        <xdr:cNvPr id="7" name="Afbeelding 18" descr=""/>
        <xdr:cNvPicPr/>
      </xdr:nvPicPr>
      <xdr:blipFill>
        <a:blip r:embed="rId8"/>
        <a:stretch/>
      </xdr:blipFill>
      <xdr:spPr>
        <a:xfrm>
          <a:off x="9348840" y="58911840"/>
          <a:ext cx="4752720" cy="22136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544320</xdr:colOff>
      <xdr:row>53</xdr:row>
      <xdr:rowOff>19080</xdr:rowOff>
    </xdr:from>
    <xdr:to>
      <xdr:col>21</xdr:col>
      <xdr:colOff>266760</xdr:colOff>
      <xdr:row>65</xdr:row>
      <xdr:rowOff>47160</xdr:rowOff>
    </xdr:to>
    <xdr:pic>
      <xdr:nvPicPr>
        <xdr:cNvPr id="8" name="Afbeelding 2" descr=""/>
        <xdr:cNvPicPr/>
      </xdr:nvPicPr>
      <xdr:blipFill>
        <a:blip r:embed="rId1"/>
        <a:stretch/>
      </xdr:blipFill>
      <xdr:spPr>
        <a:xfrm>
          <a:off x="17997120" y="9650160"/>
          <a:ext cx="4609440" cy="2199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13</xdr:col>
      <xdr:colOff>21600</xdr:colOff>
      <xdr:row>98</xdr:row>
      <xdr:rowOff>117000</xdr:rowOff>
    </xdr:from>
    <xdr:to>
      <xdr:col>20</xdr:col>
      <xdr:colOff>354960</xdr:colOff>
      <xdr:row>110</xdr:row>
      <xdr:rowOff>145080</xdr:rowOff>
    </xdr:to>
    <xdr:pic>
      <xdr:nvPicPr>
        <xdr:cNvPr id="9" name="Afbeelding 3" descr=""/>
        <xdr:cNvPicPr/>
      </xdr:nvPicPr>
      <xdr:blipFill>
        <a:blip r:embed="rId2"/>
        <a:stretch/>
      </xdr:blipFill>
      <xdr:spPr>
        <a:xfrm>
          <a:off x="17474400" y="17892000"/>
          <a:ext cx="4609800" cy="2199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13</xdr:col>
      <xdr:colOff>519480</xdr:colOff>
      <xdr:row>143</xdr:row>
      <xdr:rowOff>80640</xdr:rowOff>
    </xdr:from>
    <xdr:to>
      <xdr:col>21</xdr:col>
      <xdr:colOff>241920</xdr:colOff>
      <xdr:row>155</xdr:row>
      <xdr:rowOff>108720</xdr:rowOff>
    </xdr:to>
    <xdr:pic>
      <xdr:nvPicPr>
        <xdr:cNvPr id="10" name="Afbeelding 4" descr=""/>
        <xdr:cNvPicPr/>
      </xdr:nvPicPr>
      <xdr:blipFill>
        <a:blip r:embed="rId3"/>
        <a:stretch/>
      </xdr:blipFill>
      <xdr:spPr>
        <a:xfrm>
          <a:off x="17972280" y="25999560"/>
          <a:ext cx="4609440" cy="2199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15</xdr:col>
      <xdr:colOff>87120</xdr:colOff>
      <xdr:row>187</xdr:row>
      <xdr:rowOff>51840</xdr:rowOff>
    </xdr:from>
    <xdr:to>
      <xdr:col>22</xdr:col>
      <xdr:colOff>420480</xdr:colOff>
      <xdr:row>199</xdr:row>
      <xdr:rowOff>79920</xdr:rowOff>
    </xdr:to>
    <xdr:pic>
      <xdr:nvPicPr>
        <xdr:cNvPr id="11" name="Afbeelding 5" descr=""/>
        <xdr:cNvPicPr/>
      </xdr:nvPicPr>
      <xdr:blipFill>
        <a:blip r:embed="rId4"/>
        <a:stretch/>
      </xdr:blipFill>
      <xdr:spPr>
        <a:xfrm>
          <a:off x="18761760" y="33933600"/>
          <a:ext cx="4609440" cy="2199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15</xdr:col>
      <xdr:colOff>43560</xdr:colOff>
      <xdr:row>232</xdr:row>
      <xdr:rowOff>171720</xdr:rowOff>
    </xdr:from>
    <xdr:to>
      <xdr:col>22</xdr:col>
      <xdr:colOff>376920</xdr:colOff>
      <xdr:row>245</xdr:row>
      <xdr:rowOff>18720</xdr:rowOff>
    </xdr:to>
    <xdr:pic>
      <xdr:nvPicPr>
        <xdr:cNvPr id="12" name="Afbeelding 6" descr=""/>
        <xdr:cNvPicPr/>
      </xdr:nvPicPr>
      <xdr:blipFill>
        <a:blip r:embed="rId5"/>
        <a:stretch/>
      </xdr:blipFill>
      <xdr:spPr>
        <a:xfrm>
          <a:off x="18718200" y="42197400"/>
          <a:ext cx="4609440" cy="2199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14</xdr:col>
      <xdr:colOff>174240</xdr:colOff>
      <xdr:row>277</xdr:row>
      <xdr:rowOff>128160</xdr:rowOff>
    </xdr:from>
    <xdr:to>
      <xdr:col>21</xdr:col>
      <xdr:colOff>507600</xdr:colOff>
      <xdr:row>289</xdr:row>
      <xdr:rowOff>156240</xdr:rowOff>
    </xdr:to>
    <xdr:pic>
      <xdr:nvPicPr>
        <xdr:cNvPr id="13" name="Afbeelding 7" descr=""/>
        <xdr:cNvPicPr/>
      </xdr:nvPicPr>
      <xdr:blipFill>
        <a:blip r:embed="rId6"/>
        <a:stretch/>
      </xdr:blipFill>
      <xdr:spPr>
        <a:xfrm>
          <a:off x="18237960" y="50297760"/>
          <a:ext cx="4609440" cy="2199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14</xdr:col>
      <xdr:colOff>32760</xdr:colOff>
      <xdr:row>322</xdr:row>
      <xdr:rowOff>1800</xdr:rowOff>
    </xdr:from>
    <xdr:to>
      <xdr:col>21</xdr:col>
      <xdr:colOff>366120</xdr:colOff>
      <xdr:row>334</xdr:row>
      <xdr:rowOff>29520</xdr:rowOff>
    </xdr:to>
    <xdr:pic>
      <xdr:nvPicPr>
        <xdr:cNvPr id="14" name="Afbeelding 8" descr=""/>
        <xdr:cNvPicPr/>
      </xdr:nvPicPr>
      <xdr:blipFill>
        <a:blip r:embed="rId7"/>
        <a:stretch/>
      </xdr:blipFill>
      <xdr:spPr>
        <a:xfrm>
          <a:off x="18096480" y="58314960"/>
          <a:ext cx="4609440" cy="2199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13</xdr:col>
      <xdr:colOff>544320</xdr:colOff>
      <xdr:row>367</xdr:row>
      <xdr:rowOff>62640</xdr:rowOff>
    </xdr:from>
    <xdr:to>
      <xdr:col>21</xdr:col>
      <xdr:colOff>266760</xdr:colOff>
      <xdr:row>379</xdr:row>
      <xdr:rowOff>90360</xdr:rowOff>
    </xdr:to>
    <xdr:pic>
      <xdr:nvPicPr>
        <xdr:cNvPr id="15" name="Afbeelding 9" descr=""/>
        <xdr:cNvPicPr/>
      </xdr:nvPicPr>
      <xdr:blipFill>
        <a:blip r:embed="rId8"/>
        <a:stretch/>
      </xdr:blipFill>
      <xdr:spPr>
        <a:xfrm>
          <a:off x="17997120" y="66519720"/>
          <a:ext cx="4609440" cy="2199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13</xdr:col>
      <xdr:colOff>175680</xdr:colOff>
      <xdr:row>414</xdr:row>
      <xdr:rowOff>76680</xdr:rowOff>
    </xdr:from>
    <xdr:to>
      <xdr:col>20</xdr:col>
      <xdr:colOff>509040</xdr:colOff>
      <xdr:row>426</xdr:row>
      <xdr:rowOff>104760</xdr:rowOff>
    </xdr:to>
    <xdr:pic>
      <xdr:nvPicPr>
        <xdr:cNvPr id="16" name="Afbeelding 10" descr=""/>
        <xdr:cNvPicPr/>
      </xdr:nvPicPr>
      <xdr:blipFill>
        <a:blip r:embed="rId9"/>
        <a:stretch/>
      </xdr:blipFill>
      <xdr:spPr>
        <a:xfrm>
          <a:off x="17628480" y="75039840"/>
          <a:ext cx="4609800" cy="2199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14</xdr:col>
      <xdr:colOff>97920</xdr:colOff>
      <xdr:row>11</xdr:row>
      <xdr:rowOff>1440</xdr:rowOff>
    </xdr:from>
    <xdr:to>
      <xdr:col>21</xdr:col>
      <xdr:colOff>516240</xdr:colOff>
      <xdr:row>22</xdr:row>
      <xdr:rowOff>161280</xdr:rowOff>
    </xdr:to>
    <xdr:pic>
      <xdr:nvPicPr>
        <xdr:cNvPr id="17" name="Afbeelding 11" descr=""/>
        <xdr:cNvPicPr/>
      </xdr:nvPicPr>
      <xdr:blipFill>
        <a:blip r:embed="rId10"/>
        <a:stretch/>
      </xdr:blipFill>
      <xdr:spPr>
        <a:xfrm>
          <a:off x="18161640" y="2031480"/>
          <a:ext cx="4694400" cy="21506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55</xdr:row>
      <xdr:rowOff>8280</xdr:rowOff>
    </xdr:from>
    <xdr:to>
      <xdr:col>25</xdr:col>
      <xdr:colOff>418320</xdr:colOff>
      <xdr:row>66</xdr:row>
      <xdr:rowOff>176040</xdr:rowOff>
    </xdr:to>
    <xdr:pic>
      <xdr:nvPicPr>
        <xdr:cNvPr id="18" name="Afbeelding 2" descr=""/>
        <xdr:cNvPicPr/>
      </xdr:nvPicPr>
      <xdr:blipFill>
        <a:blip r:embed="rId1"/>
        <a:stretch/>
      </xdr:blipFill>
      <xdr:spPr>
        <a:xfrm>
          <a:off x="19114200" y="10001160"/>
          <a:ext cx="4694400" cy="2158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0</xdr:colOff>
      <xdr:row>102</xdr:row>
      <xdr:rowOff>8280</xdr:rowOff>
    </xdr:from>
    <xdr:to>
      <xdr:col>24</xdr:col>
      <xdr:colOff>418320</xdr:colOff>
      <xdr:row>113</xdr:row>
      <xdr:rowOff>176040</xdr:rowOff>
    </xdr:to>
    <xdr:pic>
      <xdr:nvPicPr>
        <xdr:cNvPr id="19" name="Afbeelding 3" descr=""/>
        <xdr:cNvPicPr/>
      </xdr:nvPicPr>
      <xdr:blipFill>
        <a:blip r:embed="rId2"/>
        <a:stretch/>
      </xdr:blipFill>
      <xdr:spPr>
        <a:xfrm>
          <a:off x="18503280" y="18507240"/>
          <a:ext cx="4694400" cy="2158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0</xdr:colOff>
      <xdr:row>148</xdr:row>
      <xdr:rowOff>8280</xdr:rowOff>
    </xdr:from>
    <xdr:to>
      <xdr:col>23</xdr:col>
      <xdr:colOff>418320</xdr:colOff>
      <xdr:row>159</xdr:row>
      <xdr:rowOff>176040</xdr:rowOff>
    </xdr:to>
    <xdr:pic>
      <xdr:nvPicPr>
        <xdr:cNvPr id="20" name="Afbeelding 4" descr=""/>
        <xdr:cNvPicPr/>
      </xdr:nvPicPr>
      <xdr:blipFill>
        <a:blip r:embed="rId3"/>
        <a:stretch/>
      </xdr:blipFill>
      <xdr:spPr>
        <a:xfrm>
          <a:off x="17892360" y="26831880"/>
          <a:ext cx="4694400" cy="2158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14</xdr:col>
      <xdr:colOff>0</xdr:colOff>
      <xdr:row>197</xdr:row>
      <xdr:rowOff>8280</xdr:rowOff>
    </xdr:from>
    <xdr:to>
      <xdr:col>21</xdr:col>
      <xdr:colOff>418320</xdr:colOff>
      <xdr:row>208</xdr:row>
      <xdr:rowOff>176040</xdr:rowOff>
    </xdr:to>
    <xdr:pic>
      <xdr:nvPicPr>
        <xdr:cNvPr id="21" name="Afbeelding 5" descr=""/>
        <xdr:cNvPicPr/>
      </xdr:nvPicPr>
      <xdr:blipFill>
        <a:blip r:embed="rId4"/>
        <a:stretch/>
      </xdr:blipFill>
      <xdr:spPr>
        <a:xfrm>
          <a:off x="16670520" y="35699760"/>
          <a:ext cx="4694400" cy="2158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14</xdr:col>
      <xdr:colOff>522360</xdr:colOff>
      <xdr:row>239</xdr:row>
      <xdr:rowOff>19080</xdr:rowOff>
    </xdr:from>
    <xdr:to>
      <xdr:col>22</xdr:col>
      <xdr:colOff>342000</xdr:colOff>
      <xdr:row>250</xdr:row>
      <xdr:rowOff>179280</xdr:rowOff>
    </xdr:to>
    <xdr:pic>
      <xdr:nvPicPr>
        <xdr:cNvPr id="22" name="Afbeelding 6" descr=""/>
        <xdr:cNvPicPr/>
      </xdr:nvPicPr>
      <xdr:blipFill>
        <a:blip r:embed="rId5"/>
        <a:stretch/>
      </xdr:blipFill>
      <xdr:spPr>
        <a:xfrm>
          <a:off x="17192880" y="43311600"/>
          <a:ext cx="4706640" cy="2150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13</xdr:col>
      <xdr:colOff>326520</xdr:colOff>
      <xdr:row>281</xdr:row>
      <xdr:rowOff>128160</xdr:rowOff>
    </xdr:from>
    <xdr:to>
      <xdr:col>21</xdr:col>
      <xdr:colOff>134640</xdr:colOff>
      <xdr:row>293</xdr:row>
      <xdr:rowOff>103320</xdr:rowOff>
    </xdr:to>
    <xdr:pic>
      <xdr:nvPicPr>
        <xdr:cNvPr id="23" name="Afbeelding 7" descr=""/>
        <xdr:cNvPicPr/>
      </xdr:nvPicPr>
      <xdr:blipFill>
        <a:blip r:embed="rId6"/>
        <a:stretch/>
      </xdr:blipFill>
      <xdr:spPr>
        <a:xfrm>
          <a:off x="16386480" y="51021360"/>
          <a:ext cx="4694760" cy="2147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15</xdr:col>
      <xdr:colOff>10800</xdr:colOff>
      <xdr:row>323</xdr:row>
      <xdr:rowOff>149760</xdr:rowOff>
    </xdr:from>
    <xdr:to>
      <xdr:col>22</xdr:col>
      <xdr:colOff>438840</xdr:colOff>
      <xdr:row>335</xdr:row>
      <xdr:rowOff>141840</xdr:rowOff>
    </xdr:to>
    <xdr:pic>
      <xdr:nvPicPr>
        <xdr:cNvPr id="24" name="Afbeelding 8" descr=""/>
        <xdr:cNvPicPr/>
      </xdr:nvPicPr>
      <xdr:blipFill>
        <a:blip r:embed="rId7"/>
        <a:stretch/>
      </xdr:blipFill>
      <xdr:spPr>
        <a:xfrm>
          <a:off x="17292240" y="58644000"/>
          <a:ext cx="4704120" cy="21639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14</xdr:col>
      <xdr:colOff>65160</xdr:colOff>
      <xdr:row>9</xdr:row>
      <xdr:rowOff>95400</xdr:rowOff>
    </xdr:from>
    <xdr:to>
      <xdr:col>21</xdr:col>
      <xdr:colOff>474120</xdr:colOff>
      <xdr:row>21</xdr:row>
      <xdr:rowOff>66600</xdr:rowOff>
    </xdr:to>
    <xdr:pic>
      <xdr:nvPicPr>
        <xdr:cNvPr id="25" name="Afbeelding 9" descr=""/>
        <xdr:cNvPicPr/>
      </xdr:nvPicPr>
      <xdr:blipFill>
        <a:blip r:embed="rId8"/>
        <a:stretch/>
      </xdr:blipFill>
      <xdr:spPr>
        <a:xfrm>
          <a:off x="16735680" y="1763640"/>
          <a:ext cx="4685040" cy="2142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72000</xdr:colOff>
      <xdr:row>9</xdr:row>
      <xdr:rowOff>76320</xdr:rowOff>
    </xdr:from>
    <xdr:to>
      <xdr:col>20</xdr:col>
      <xdr:colOff>554040</xdr:colOff>
      <xdr:row>19</xdr:row>
      <xdr:rowOff>66600</xdr:rowOff>
    </xdr:to>
    <xdr:pic>
      <xdr:nvPicPr>
        <xdr:cNvPr id="26" name="Afbeelding 9" descr=""/>
        <xdr:cNvPicPr/>
      </xdr:nvPicPr>
      <xdr:blipFill>
        <a:blip r:embed="rId1"/>
        <a:srcRect l="0" t="0" r="0" b="8230"/>
        <a:stretch/>
      </xdr:blipFill>
      <xdr:spPr>
        <a:xfrm>
          <a:off x="16742520" y="1744560"/>
          <a:ext cx="4147560" cy="1800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448920</xdr:colOff>
      <xdr:row>53</xdr:row>
      <xdr:rowOff>62640</xdr:rowOff>
    </xdr:from>
    <xdr:to>
      <xdr:col>24</xdr:col>
      <xdr:colOff>379440</xdr:colOff>
      <xdr:row>65</xdr:row>
      <xdr:rowOff>139320</xdr:rowOff>
    </xdr:to>
    <xdr:pic>
      <xdr:nvPicPr>
        <xdr:cNvPr id="27" name="Afbeelding 10" descr=""/>
        <xdr:cNvPicPr/>
      </xdr:nvPicPr>
      <xdr:blipFill>
        <a:blip r:embed="rId2"/>
        <a:stretch/>
      </xdr:blipFill>
      <xdr:spPr>
        <a:xfrm>
          <a:off x="18341280" y="9693720"/>
          <a:ext cx="4817520" cy="2248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15</xdr:col>
      <xdr:colOff>258480</xdr:colOff>
      <xdr:row>97</xdr:row>
      <xdr:rowOff>21960</xdr:rowOff>
    </xdr:from>
    <xdr:to>
      <xdr:col>23</xdr:col>
      <xdr:colOff>189000</xdr:colOff>
      <xdr:row>109</xdr:row>
      <xdr:rowOff>98640</xdr:rowOff>
    </xdr:to>
    <xdr:pic>
      <xdr:nvPicPr>
        <xdr:cNvPr id="28" name="Afbeelding 11" descr=""/>
        <xdr:cNvPicPr/>
      </xdr:nvPicPr>
      <xdr:blipFill>
        <a:blip r:embed="rId3"/>
        <a:stretch/>
      </xdr:blipFill>
      <xdr:spPr>
        <a:xfrm>
          <a:off x="17539920" y="17615880"/>
          <a:ext cx="4817520" cy="22485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2013 - 2022 Thema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C3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31" activeCellId="0" sqref="I3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34.08"/>
    <col collapsed="false" customWidth="true" hidden="false" outlineLevel="0" max="2" min="2" style="1" width="16.11"/>
    <col collapsed="false" customWidth="true" hidden="false" outlineLevel="0" max="3" min="3" style="2" width="13.1"/>
    <col collapsed="false" customWidth="true" hidden="false" outlineLevel="0" max="4" min="4" style="3" width="13.1"/>
    <col collapsed="false" customWidth="true" hidden="false" outlineLevel="0" max="5" min="5" style="4" width="13.1"/>
    <col collapsed="false" customWidth="true" hidden="false" outlineLevel="0" max="6" min="6" style="1" width="15.55"/>
    <col collapsed="false" customWidth="true" hidden="false" outlineLevel="0" max="7" min="7" style="1" width="13.25"/>
    <col collapsed="false" customWidth="true" hidden="false" outlineLevel="0" max="8" min="8" style="1" width="17.51"/>
    <col collapsed="false" customWidth="true" hidden="false" outlineLevel="0" max="16383" min="16380" style="0" width="11.53"/>
    <col collapsed="false" customWidth="true" hidden="false" outlineLevel="0" max="16384" min="16384" style="1" width="11.53"/>
  </cols>
  <sheetData>
    <row r="1" customFormat="false" ht="17.35" hidden="false" customHeight="false" outlineLevel="0" collapsed="false">
      <c r="A1" s="5" t="s">
        <v>0</v>
      </c>
      <c r="B1" s="6" t="s">
        <v>1</v>
      </c>
    </row>
    <row r="3" customFormat="false" ht="14.25" hidden="false" customHeight="false" outlineLevel="0" collapsed="false">
      <c r="F3" s="1" t="s">
        <v>2</v>
      </c>
    </row>
    <row r="4" customFormat="false" ht="14.25" hidden="false" customHeight="false" outlineLevel="0" collapsed="false">
      <c r="A4" s="7" t="s">
        <v>3</v>
      </c>
      <c r="B4" s="1" t="s">
        <v>4</v>
      </c>
      <c r="F4" s="1" t="s">
        <v>5</v>
      </c>
    </row>
    <row r="6" customFormat="false" ht="14.25" hidden="false" customHeight="false" outlineLevel="0" collapsed="false">
      <c r="A6" s="8" t="s">
        <v>6</v>
      </c>
      <c r="B6" s="8" t="s">
        <v>7</v>
      </c>
      <c r="C6" s="9" t="s">
        <v>7</v>
      </c>
      <c r="D6" s="10" t="s">
        <v>8</v>
      </c>
      <c r="E6" s="11" t="s">
        <v>9</v>
      </c>
      <c r="F6" s="12" t="s">
        <v>10</v>
      </c>
      <c r="G6" s="13" t="s">
        <v>11</v>
      </c>
      <c r="H6" s="0"/>
    </row>
    <row r="7" customFormat="false" ht="14.25" hidden="false" customHeight="false" outlineLevel="0" collapsed="false">
      <c r="A7" s="1" t="s">
        <v>12</v>
      </c>
      <c r="B7" s="14" t="n">
        <v>59.27</v>
      </c>
      <c r="C7" s="2" t="n">
        <v>-90</v>
      </c>
      <c r="D7" s="3" t="n">
        <v>0.010921371</v>
      </c>
      <c r="E7" s="4" t="n">
        <v>0.004922861</v>
      </c>
      <c r="F7" s="15" t="n">
        <f aca="false">MIN(ABS(C7-$B$7), ABS(C7-180-$B$7), ABS(C7+180-$B$7))</f>
        <v>30.73</v>
      </c>
      <c r="G7" s="16" t="n">
        <f aca="false" t="array" ref="G7:G7">SQRT(SUMPRODUCT(D7:D51,F7:F51*F7:F51))</f>
        <v>24.7673876193313</v>
      </c>
      <c r="H7" s="0"/>
    </row>
    <row r="8" customFormat="false" ht="14.25" hidden="false" customHeight="false" outlineLevel="0" collapsed="false">
      <c r="A8" s="17" t="s">
        <v>13</v>
      </c>
      <c r="C8" s="2" t="n">
        <v>-85.909090909</v>
      </c>
      <c r="D8" s="3" t="n">
        <v>0.008138977</v>
      </c>
      <c r="E8" s="4" t="n">
        <v>0.004922861</v>
      </c>
      <c r="F8" s="15" t="n">
        <f aca="false">MIN(ABS(C8-$B$7), ABS(C8-180-$B$7), ABS(C8+180-$B$7))</f>
        <v>34.820909091</v>
      </c>
    </row>
    <row r="9" customFormat="false" ht="14.25" hidden="false" customHeight="false" outlineLevel="0" collapsed="false">
      <c r="B9" s="8" t="s">
        <v>14</v>
      </c>
      <c r="C9" s="2" t="n">
        <v>-81.818181818</v>
      </c>
      <c r="D9" s="3" t="n">
        <v>0.006966024</v>
      </c>
      <c r="E9" s="4" t="n">
        <v>0.004922861</v>
      </c>
      <c r="F9" s="15" t="n">
        <f aca="false">MIN(ABS(C9-$B$7), ABS(C9-180-$B$7), ABS(C9+180-$B$7))</f>
        <v>38.911818182</v>
      </c>
      <c r="G9" s="13" t="s">
        <v>15</v>
      </c>
    </row>
    <row r="10" customFormat="false" ht="14.25" hidden="false" customHeight="false" outlineLevel="0" collapsed="false">
      <c r="B10" s="14" t="n">
        <v>0.81</v>
      </c>
      <c r="C10" s="2" t="n">
        <v>-77.727272727</v>
      </c>
      <c r="D10" s="3" t="n">
        <v>0.005741144</v>
      </c>
      <c r="E10" s="4" t="n">
        <v>0.004922861</v>
      </c>
      <c r="F10" s="15" t="n">
        <f aca="false">MIN(ABS(C10-$B$7), ABS(C10-180-$B$7), ABS(C10+180-$B$7))</f>
        <v>43.002727273</v>
      </c>
      <c r="G10" s="3" t="n">
        <f aca="false" t="array" ref="G10:G10">SUMPRODUCT(D7:D51,ABS(F7:F51))</f>
        <v>16.6191695748155</v>
      </c>
    </row>
    <row r="11" customFormat="false" ht="14.25" hidden="false" customHeight="false" outlineLevel="0" collapsed="false">
      <c r="C11" s="2" t="n">
        <v>-73.636363636</v>
      </c>
      <c r="D11" s="3" t="n">
        <v>0.00497514</v>
      </c>
      <c r="E11" s="4" t="n">
        <v>0.004922861</v>
      </c>
      <c r="F11" s="15" t="n">
        <f aca="false">MIN(ABS(C11-$B$7), ABS(C11-180-$B$7), ABS(C11+180-$B$7))</f>
        <v>47.093636364</v>
      </c>
    </row>
    <row r="12" customFormat="false" ht="14.25" hidden="false" customHeight="false" outlineLevel="0" collapsed="false">
      <c r="B12" s="8" t="s">
        <v>16</v>
      </c>
      <c r="C12" s="2" t="n">
        <v>-69.545454545</v>
      </c>
      <c r="D12" s="3" t="n">
        <v>0.004466785</v>
      </c>
      <c r="E12" s="4" t="n">
        <v>0.004922861</v>
      </c>
      <c r="F12" s="15" t="n">
        <f aca="false">MIN(ABS(C12-$B$7), ABS(C12-180-$B$7), ABS(C12+180-$B$7))</f>
        <v>51.184545455</v>
      </c>
    </row>
    <row r="13" customFormat="false" ht="14.25" hidden="false" customHeight="false" outlineLevel="0" collapsed="false">
      <c r="B13" s="14" t="n">
        <v>12.05</v>
      </c>
      <c r="C13" s="2" t="n">
        <v>-65.454545455</v>
      </c>
      <c r="D13" s="3" t="n">
        <v>0.004089683</v>
      </c>
      <c r="E13" s="4" t="n">
        <v>0.004922861</v>
      </c>
      <c r="F13" s="15" t="n">
        <f aca="false">MIN(ABS(C13-$B$7), ABS(C13-180-$B$7), ABS(C13+180-$B$7))</f>
        <v>55.275454545</v>
      </c>
    </row>
    <row r="14" customFormat="false" ht="14.25" hidden="false" customHeight="false" outlineLevel="0" collapsed="false">
      <c r="C14" s="2" t="n">
        <v>-61.363636364</v>
      </c>
      <c r="D14" s="3" t="n">
        <v>0.003846323</v>
      </c>
      <c r="E14" s="4" t="n">
        <v>0.004922861</v>
      </c>
      <c r="F14" s="15" t="n">
        <f aca="false">MIN(ABS(C14-$B$7), ABS(C14-180-$B$7), ABS(C14+180-$B$7))</f>
        <v>59.366363636</v>
      </c>
    </row>
    <row r="15" customFormat="false" ht="14.25" hidden="false" customHeight="false" outlineLevel="0" collapsed="false">
      <c r="B15" s="8" t="s">
        <v>17</v>
      </c>
      <c r="C15" s="2" t="n">
        <v>-57.272727273</v>
      </c>
      <c r="D15" s="3" t="n">
        <v>0.003695105</v>
      </c>
      <c r="E15" s="4" t="n">
        <v>0.004922861</v>
      </c>
      <c r="F15" s="15" t="n">
        <f aca="false">MIN(ABS(C15-$B$7), ABS(C15-180-$B$7), ABS(C15+180-$B$7))</f>
        <v>63.457272727</v>
      </c>
    </row>
    <row r="16" customFormat="false" ht="14.25" hidden="false" customHeight="false" outlineLevel="0" collapsed="false">
      <c r="B16" s="14" t="n">
        <v>0.98</v>
      </c>
      <c r="C16" s="2" t="n">
        <v>-53.181818182</v>
      </c>
      <c r="D16" s="3" t="n">
        <v>0.003507173</v>
      </c>
      <c r="E16" s="4" t="n">
        <v>0.004922861</v>
      </c>
      <c r="F16" s="15" t="n">
        <f aca="false">MIN(ABS(C16-$B$7), ABS(C16-180-$B$7), ABS(C16+180-$B$7))</f>
        <v>67.548181818</v>
      </c>
    </row>
    <row r="17" customFormat="false" ht="14.25" hidden="false" customHeight="false" outlineLevel="0" collapsed="false">
      <c r="C17" s="2" t="n">
        <v>-49.090909091</v>
      </c>
      <c r="D17" s="3" t="n">
        <v>0.003390257</v>
      </c>
      <c r="E17" s="4" t="n">
        <v>0.004922861</v>
      </c>
      <c r="F17" s="15" t="n">
        <f aca="false">MIN(ABS(C17-$B$7), ABS(C17-180-$B$7), ABS(C17+180-$B$7))</f>
        <v>71.639090909</v>
      </c>
    </row>
    <row r="18" customFormat="false" ht="14.25" hidden="false" customHeight="false" outlineLevel="0" collapsed="false">
      <c r="C18" s="2" t="n">
        <v>-45</v>
      </c>
      <c r="D18" s="3" t="n">
        <v>0.003434644</v>
      </c>
      <c r="E18" s="4" t="n">
        <v>0.004922861</v>
      </c>
      <c r="F18" s="15" t="n">
        <f aca="false">MIN(ABS(C18-$B$7), ABS(C18-180-$B$7), ABS(C18+180-$B$7))</f>
        <v>75.73</v>
      </c>
    </row>
    <row r="19" customFormat="false" ht="14.25" hidden="false" customHeight="false" outlineLevel="0" collapsed="false">
      <c r="C19" s="2" t="n">
        <v>-40.909090909</v>
      </c>
      <c r="D19" s="3" t="n">
        <v>0.003394777</v>
      </c>
      <c r="E19" s="4" t="n">
        <v>0.004922861</v>
      </c>
      <c r="F19" s="15" t="n">
        <f aca="false">MIN(ABS(C19-$B$7), ABS(C19-180-$B$7), ABS(C19+180-$B$7))</f>
        <v>79.820909091</v>
      </c>
    </row>
    <row r="20" customFormat="false" ht="14.25" hidden="false" customHeight="false" outlineLevel="0" collapsed="false">
      <c r="C20" s="2" t="n">
        <v>-36.818181818</v>
      </c>
      <c r="D20" s="3" t="n">
        <v>0.003390787</v>
      </c>
      <c r="E20" s="4" t="n">
        <v>0.004922861</v>
      </c>
      <c r="F20" s="15" t="n">
        <f aca="false">MIN(ABS(C20-$B$7), ABS(C20-180-$B$7), ABS(C20+180-$B$7))</f>
        <v>83.911818182</v>
      </c>
    </row>
    <row r="21" customFormat="false" ht="14.25" hidden="false" customHeight="false" outlineLevel="0" collapsed="false">
      <c r="C21" s="2" t="n">
        <v>-32.727272727</v>
      </c>
      <c r="D21" s="3" t="n">
        <v>0.003480111</v>
      </c>
      <c r="E21" s="4" t="n">
        <v>0.004922861</v>
      </c>
      <c r="F21" s="15" t="n">
        <f aca="false">MIN(ABS(C21-$B$7), ABS(C21-180-$B$7), ABS(C21+180-$B$7))</f>
        <v>88.002727273</v>
      </c>
    </row>
    <row r="22" customFormat="false" ht="14.25" hidden="false" customHeight="false" outlineLevel="0" collapsed="false">
      <c r="C22" s="2" t="n">
        <v>-28.636363636</v>
      </c>
      <c r="D22" s="3" t="n">
        <v>0.003435417</v>
      </c>
      <c r="E22" s="4" t="n">
        <v>0.004922861</v>
      </c>
      <c r="F22" s="15" t="n">
        <f aca="false">MIN(ABS(C22-$B$7), ABS(C22-180-$B$7), ABS(C22+180-$B$7))</f>
        <v>87.906363636</v>
      </c>
    </row>
    <row r="23" customFormat="false" ht="14.25" hidden="false" customHeight="false" outlineLevel="0" collapsed="false">
      <c r="C23" s="2" t="n">
        <v>-24.545454545</v>
      </c>
      <c r="D23" s="3" t="n">
        <v>0.003495524</v>
      </c>
      <c r="E23" s="4" t="n">
        <v>0.004922861</v>
      </c>
      <c r="F23" s="15" t="n">
        <f aca="false">MIN(ABS(C23-$B$7), ABS(C23-180-$B$7), ABS(C23+180-$B$7))</f>
        <v>83.815454545</v>
      </c>
    </row>
    <row r="24" customFormat="false" ht="14.25" hidden="false" customHeight="false" outlineLevel="0" collapsed="false">
      <c r="C24" s="2" t="n">
        <v>-20.454545455</v>
      </c>
      <c r="D24" s="3" t="n">
        <v>0.003679549</v>
      </c>
      <c r="E24" s="4" t="n">
        <v>0.004922861</v>
      </c>
      <c r="F24" s="15" t="n">
        <f aca="false">MIN(ABS(C24-$B$7), ABS(C24-180-$B$7), ABS(C24+180-$B$7))</f>
        <v>79.724545455</v>
      </c>
    </row>
    <row r="25" customFormat="false" ht="14.25" hidden="false" customHeight="false" outlineLevel="0" collapsed="false">
      <c r="C25" s="2" t="n">
        <v>-16.363636364</v>
      </c>
      <c r="D25" s="3" t="n">
        <v>0.003838533</v>
      </c>
      <c r="E25" s="4" t="n">
        <v>0.004922862</v>
      </c>
      <c r="F25" s="15" t="n">
        <f aca="false">MIN(ABS(C25-$B$7), ABS(C25-180-$B$7), ABS(C25+180-$B$7))</f>
        <v>75.633636364</v>
      </c>
    </row>
    <row r="26" customFormat="false" ht="14.25" hidden="false" customHeight="false" outlineLevel="0" collapsed="false">
      <c r="C26" s="2" t="n">
        <v>-12.272727273</v>
      </c>
      <c r="D26" s="3" t="n">
        <v>0.003838595</v>
      </c>
      <c r="E26" s="4" t="n">
        <v>0.004922864</v>
      </c>
      <c r="F26" s="15" t="n">
        <f aca="false">MIN(ABS(C26-$B$7), ABS(C26-180-$B$7), ABS(C26+180-$B$7))</f>
        <v>71.542727273</v>
      </c>
      <c r="G26" s="18"/>
    </row>
    <row r="27" customFormat="false" ht="14.25" hidden="false" customHeight="false" outlineLevel="0" collapsed="false">
      <c r="C27" s="2" t="n">
        <v>-8.181818182</v>
      </c>
      <c r="D27" s="3" t="n">
        <v>0.004078988</v>
      </c>
      <c r="E27" s="4" t="n">
        <v>0.004922878</v>
      </c>
      <c r="F27" s="15" t="n">
        <f aca="false">MIN(ABS(C27-$B$7), ABS(C27-180-$B$7), ABS(C27+180-$B$7))</f>
        <v>67.451818182</v>
      </c>
    </row>
    <row r="28" customFormat="false" ht="14.25" hidden="false" customHeight="false" outlineLevel="0" collapsed="false">
      <c r="C28" s="2" t="n">
        <v>-4.090909091</v>
      </c>
      <c r="D28" s="3" t="n">
        <v>0.00432609</v>
      </c>
      <c r="E28" s="4" t="n">
        <v>0.004922967</v>
      </c>
      <c r="F28" s="15" t="n">
        <f aca="false">MIN(ABS(C28-$B$7), ABS(C28-180-$B$7), ABS(C28+180-$B$7))</f>
        <v>63.360909091</v>
      </c>
    </row>
    <row r="29" customFormat="false" ht="14.25" hidden="false" customHeight="false" outlineLevel="0" collapsed="false">
      <c r="C29" s="2" t="n">
        <v>0</v>
      </c>
      <c r="D29" s="3" t="n">
        <v>0.00480249</v>
      </c>
      <c r="E29" s="4" t="n">
        <v>0.004923456</v>
      </c>
      <c r="F29" s="15" t="n">
        <f aca="false">MIN(ABS(C29-$B$7), ABS(C29-180-$B$7), ABS(C29+180-$B$7))</f>
        <v>59.27</v>
      </c>
    </row>
    <row r="30" customFormat="false" ht="14.25" hidden="false" customHeight="false" outlineLevel="0" collapsed="false">
      <c r="C30" s="2" t="n">
        <v>4.090909091</v>
      </c>
      <c r="D30" s="3" t="n">
        <v>0.005320036</v>
      </c>
      <c r="E30" s="4" t="n">
        <v>0.004925841</v>
      </c>
      <c r="F30" s="15" t="n">
        <f aca="false">MIN(ABS(C30-$B$7), ABS(C30-180-$B$7), ABS(C30+180-$B$7))</f>
        <v>55.179090909</v>
      </c>
    </row>
    <row r="31" customFormat="false" ht="14.25" hidden="false" customHeight="false" outlineLevel="0" collapsed="false">
      <c r="C31" s="2" t="n">
        <v>8.181818182</v>
      </c>
      <c r="D31" s="3" t="n">
        <v>0.005734587</v>
      </c>
      <c r="E31" s="4" t="n">
        <v>0.004936162</v>
      </c>
      <c r="F31" s="15" t="n">
        <f aca="false">MIN(ABS(C31-$B$7), ABS(C31-180-$B$7), ABS(C31+180-$B$7))</f>
        <v>51.088181818</v>
      </c>
    </row>
    <row r="32" customFormat="false" ht="14.25" hidden="false" customHeight="false" outlineLevel="0" collapsed="false">
      <c r="C32" s="2" t="n">
        <v>12.272727273</v>
      </c>
      <c r="D32" s="3" t="n">
        <v>0.00598872</v>
      </c>
      <c r="E32" s="4" t="n">
        <v>0.004975771</v>
      </c>
      <c r="F32" s="15" t="n">
        <f aca="false">MIN(ABS(C32-$B$7), ABS(C32-180-$B$7), ABS(C32+180-$B$7))</f>
        <v>46.997272727</v>
      </c>
    </row>
    <row r="33" customFormat="false" ht="14.25" hidden="false" customHeight="false" outlineLevel="0" collapsed="false">
      <c r="C33" s="2" t="n">
        <v>16.363636364</v>
      </c>
      <c r="D33" s="3" t="n">
        <v>0.006285809</v>
      </c>
      <c r="E33" s="4" t="n">
        <v>0.005110436</v>
      </c>
      <c r="F33" s="15" t="n">
        <f aca="false">MIN(ABS(C33-$B$7), ABS(C33-180-$B$7), ABS(C33+180-$B$7))</f>
        <v>42.906363636</v>
      </c>
    </row>
    <row r="34" customFormat="false" ht="14.25" hidden="false" customHeight="false" outlineLevel="0" collapsed="false">
      <c r="C34" s="2" t="n">
        <v>20.454545455</v>
      </c>
      <c r="D34" s="3" t="n">
        <v>0.007292165</v>
      </c>
      <c r="E34" s="4" t="n">
        <v>0.005515496</v>
      </c>
      <c r="F34" s="15" t="n">
        <f aca="false">MIN(ABS(C34-$B$7), ABS(C34-180-$B$7), ABS(C34+180-$B$7))</f>
        <v>38.815454545</v>
      </c>
    </row>
    <row r="35" customFormat="false" ht="14.25" hidden="false" customHeight="false" outlineLevel="0" collapsed="false">
      <c r="C35" s="2" t="n">
        <v>24.545454545</v>
      </c>
      <c r="D35" s="3" t="n">
        <v>0.008600154</v>
      </c>
      <c r="E35" s="4" t="n">
        <v>0.006591557</v>
      </c>
      <c r="F35" s="15" t="n">
        <f aca="false">MIN(ABS(C35-$B$7), ABS(C35-180-$B$7), ABS(C35+180-$B$7))</f>
        <v>34.724545455</v>
      </c>
    </row>
    <row r="36" customFormat="false" ht="14.25" hidden="false" customHeight="false" outlineLevel="0" collapsed="false">
      <c r="C36" s="2" t="n">
        <v>28.636363636</v>
      </c>
      <c r="D36" s="3" t="n">
        <v>0.0103003</v>
      </c>
      <c r="E36" s="4" t="n">
        <v>0.00911026</v>
      </c>
      <c r="F36" s="15" t="n">
        <f aca="false">MIN(ABS(C36-$B$7), ABS(C36-180-$B$7), ABS(C36+180-$B$7))</f>
        <v>30.633636364</v>
      </c>
    </row>
    <row r="37" customFormat="false" ht="14.25" hidden="false" customHeight="false" outlineLevel="0" collapsed="false">
      <c r="C37" s="2" t="n">
        <v>32.727272727</v>
      </c>
      <c r="D37" s="3" t="n">
        <v>0.012624123</v>
      </c>
      <c r="E37" s="4" t="n">
        <v>0.014287441</v>
      </c>
      <c r="F37" s="15" t="n">
        <f aca="false">MIN(ABS(C37-$B$7), ABS(C37-180-$B$7), ABS(C37+180-$B$7))</f>
        <v>26.542727273</v>
      </c>
    </row>
    <row r="38" customFormat="false" ht="14.25" hidden="false" customHeight="false" outlineLevel="0" collapsed="false">
      <c r="C38" s="2" t="n">
        <v>36.818181818</v>
      </c>
      <c r="D38" s="3" t="n">
        <v>0.019144543</v>
      </c>
      <c r="E38" s="4" t="n">
        <v>0.023587051</v>
      </c>
      <c r="F38" s="15" t="n">
        <f aca="false">MIN(ABS(C38-$B$7), ABS(C38-180-$B$7), ABS(C38+180-$B$7))</f>
        <v>22.451818182</v>
      </c>
    </row>
    <row r="39" customFormat="false" ht="14.25" hidden="false" customHeight="false" outlineLevel="0" collapsed="false">
      <c r="C39" s="2" t="n">
        <v>40.909090909</v>
      </c>
      <c r="D39" s="3" t="n">
        <v>0.032287082</v>
      </c>
      <c r="E39" s="4" t="n">
        <v>0.03807464</v>
      </c>
      <c r="F39" s="15" t="n">
        <f aca="false">MIN(ABS(C39-$B$7), ABS(C39-180-$B$7), ABS(C39+180-$B$7))</f>
        <v>18.360909091</v>
      </c>
    </row>
    <row r="40" customFormat="false" ht="14.25" hidden="false" customHeight="false" outlineLevel="0" collapsed="false">
      <c r="C40" s="2" t="n">
        <v>45</v>
      </c>
      <c r="D40" s="3" t="n">
        <v>0.064786567</v>
      </c>
      <c r="E40" s="4" t="n">
        <v>0.057401356</v>
      </c>
      <c r="F40" s="15" t="n">
        <f aca="false">MIN(ABS(C40-$B$7), ABS(C40-180-$B$7), ABS(C40+180-$B$7))</f>
        <v>14.27</v>
      </c>
    </row>
    <row r="41" customFormat="false" ht="14.25" hidden="false" customHeight="false" outlineLevel="0" collapsed="false">
      <c r="C41" s="2" t="n">
        <v>49.090909091</v>
      </c>
      <c r="D41" s="3" t="n">
        <v>0.076843648</v>
      </c>
      <c r="E41" s="4" t="n">
        <v>0.078957121</v>
      </c>
      <c r="F41" s="15" t="n">
        <f aca="false">MIN(ABS(C41-$B$7), ABS(C41-180-$B$7), ABS(C41+180-$B$7))</f>
        <v>10.179090909</v>
      </c>
    </row>
    <row r="42" customFormat="false" ht="14.25" hidden="false" customHeight="false" outlineLevel="0" collapsed="false">
      <c r="C42" s="2" t="n">
        <v>53.181818182</v>
      </c>
      <c r="D42" s="3" t="n">
        <v>0.101981498</v>
      </c>
      <c r="E42" s="4" t="n">
        <v>0.098003841</v>
      </c>
      <c r="F42" s="15" t="n">
        <f aca="false">MIN(ABS(C42-$B$7), ABS(C42-180-$B$7), ABS(C42+180-$B$7))</f>
        <v>6.088181818</v>
      </c>
    </row>
    <row r="43" customFormat="false" ht="14.25" hidden="false" customHeight="false" outlineLevel="0" collapsed="false">
      <c r="C43" s="2" t="n">
        <v>57.272727273</v>
      </c>
      <c r="D43" s="3" t="n">
        <v>0.111931258</v>
      </c>
      <c r="E43" s="4" t="n">
        <v>0.109218463</v>
      </c>
      <c r="F43" s="15" t="n">
        <f aca="false">MIN(ABS(C43-$B$7), ABS(C43-180-$B$7), ABS(C43+180-$B$7))</f>
        <v>1.997272727</v>
      </c>
    </row>
    <row r="44" customFormat="false" ht="14.25" hidden="false" customHeight="false" outlineLevel="0" collapsed="false">
      <c r="C44" s="2" t="n">
        <v>61.363636364</v>
      </c>
      <c r="D44" s="3" t="n">
        <v>0.095897206</v>
      </c>
      <c r="E44" s="4" t="n">
        <v>0.109070129</v>
      </c>
      <c r="F44" s="15" t="n">
        <f aca="false">MIN(ABS(C44-$B$7), ABS(C44-180-$B$7), ABS(C44+180-$B$7))</f>
        <v>2.093636364</v>
      </c>
    </row>
    <row r="45" customFormat="false" ht="14.25" hidden="false" customHeight="false" outlineLevel="0" collapsed="false">
      <c r="C45" s="2" t="n">
        <v>65.454545455</v>
      </c>
      <c r="D45" s="3" t="n">
        <v>0.106758318</v>
      </c>
      <c r="E45" s="4" t="n">
        <v>0.097607253</v>
      </c>
      <c r="F45" s="15" t="n">
        <f aca="false">MIN(ABS(C45-$B$7), ABS(C45-180-$B$7), ABS(C45+180-$B$7))</f>
        <v>6.184545455</v>
      </c>
    </row>
    <row r="46" customFormat="false" ht="14.25" hidden="false" customHeight="false" outlineLevel="0" collapsed="false">
      <c r="C46" s="2" t="n">
        <v>69.545454545</v>
      </c>
      <c r="D46" s="3" t="n">
        <v>0.082877848</v>
      </c>
      <c r="E46" s="4" t="n">
        <v>0.078432141</v>
      </c>
      <c r="F46" s="15" t="n">
        <f aca="false">MIN(ABS(C46-$B$7), ABS(C46-180-$B$7), ABS(C46+180-$B$7))</f>
        <v>10.275454545</v>
      </c>
    </row>
    <row r="47" customFormat="false" ht="14.25" hidden="false" customHeight="false" outlineLevel="0" collapsed="false">
      <c r="C47" s="2" t="n">
        <v>73.636363636</v>
      </c>
      <c r="D47" s="3" t="n">
        <v>0.045435297</v>
      </c>
      <c r="E47" s="4" t="n">
        <v>0.056881118</v>
      </c>
      <c r="F47" s="15" t="n">
        <f aca="false">MIN(ABS(C47-$B$7), ABS(C47-180-$B$7), ABS(C47+180-$B$7))</f>
        <v>14.366363636</v>
      </c>
    </row>
    <row r="48" customFormat="false" ht="14.25" hidden="false" customHeight="false" outlineLevel="0" collapsed="false">
      <c r="C48" s="2" t="n">
        <v>77.727272727</v>
      </c>
      <c r="D48" s="3" t="n">
        <v>0.03962434</v>
      </c>
      <c r="E48" s="4" t="n">
        <v>0.037652696</v>
      </c>
      <c r="F48" s="15" t="n">
        <f aca="false">MIN(ABS(C48-$B$7), ABS(C48-180-$B$7), ABS(C48+180-$B$7))</f>
        <v>18.457272727</v>
      </c>
    </row>
    <row r="49" s="19" customFormat="true" ht="14.25" hidden="false" customHeight="false" outlineLevel="0" collapsed="false">
      <c r="A49" s="1"/>
      <c r="B49" s="1"/>
      <c r="C49" s="2" t="n">
        <v>81.818181818</v>
      </c>
      <c r="D49" s="3" t="n">
        <v>0.028878089</v>
      </c>
      <c r="E49" s="4" t="n">
        <v>0.023297123</v>
      </c>
      <c r="F49" s="15" t="n">
        <f aca="false">MIN(ABS(C49-$B$7), ABS(C49-180-$B$7), ABS(C49+180-$B$7))</f>
        <v>22.548181818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XEZ49" s="0"/>
      <c r="XFA49" s="0"/>
      <c r="XFB49" s="0"/>
      <c r="XFC49" s="0"/>
    </row>
    <row r="50" customFormat="false" ht="14.25" hidden="false" customHeight="false" outlineLevel="0" collapsed="false">
      <c r="C50" s="2" t="n">
        <v>85.909090909</v>
      </c>
      <c r="D50" s="3" t="n">
        <v>0.015553549</v>
      </c>
      <c r="E50" s="4" t="n">
        <v>0.014115767</v>
      </c>
      <c r="F50" s="15" t="n">
        <f aca="false">MIN(ABS(C50-$B$7), ABS(C50-180-$B$7), ABS(C50+180-$B$7))</f>
        <v>26.639090909</v>
      </c>
      <c r="S50" s="19"/>
      <c r="T50" s="19"/>
      <c r="U50" s="19"/>
      <c r="V50" s="19"/>
      <c r="W50" s="19"/>
    </row>
    <row r="51" customFormat="false" ht="14.25" hidden="false" customHeight="false" outlineLevel="0" collapsed="false">
      <c r="A51" s="19"/>
      <c r="B51" s="19"/>
      <c r="C51" s="20" t="n">
        <v>90</v>
      </c>
      <c r="D51" s="21" t="n">
        <v>0.010921371</v>
      </c>
      <c r="E51" s="22" t="n">
        <v>0.009021811</v>
      </c>
      <c r="F51" s="23" t="n">
        <f aca="false">MIN(ABS(C51-$B$7), ABS(C51-180-$B$7), ABS(C51+180-$B$7))</f>
        <v>30.73</v>
      </c>
      <c r="G51" s="19"/>
      <c r="H51" s="19"/>
    </row>
    <row r="52" customFormat="false" ht="14.25" hidden="false" customHeight="false" outlineLevel="0" collapsed="false">
      <c r="A52" s="14" t="n">
        <v>20241115</v>
      </c>
      <c r="B52" s="14" t="n">
        <v>63.82</v>
      </c>
      <c r="C52" s="2" t="n">
        <v>-90</v>
      </c>
      <c r="D52" s="3" t="n">
        <v>0.017130197</v>
      </c>
      <c r="E52" s="4" t="n">
        <v>0.008551075</v>
      </c>
      <c r="F52" s="15" t="n">
        <f aca="false">MIN(ABS(C52-$B$52), ABS(C52-180-$B$52), ABS(C52+180-$B$52))</f>
        <v>26.18</v>
      </c>
      <c r="G52" s="16" t="n">
        <f aca="false" t="array" ref="G52:G52">SQRT(SUMPRODUCT(D52:D96,F52:F96*F52:F96))</f>
        <v>31.4125301504937</v>
      </c>
      <c r="H52" s="3" t="n">
        <f aca="false" t="array" ref="H52:H52">SUMPRODUCT(D52:D96,ABS(F52:F96))</f>
        <v>22.0518760864968</v>
      </c>
    </row>
    <row r="53" customFormat="false" ht="14.25" hidden="false" customHeight="false" outlineLevel="0" collapsed="false">
      <c r="C53" s="2" t="n">
        <v>-85.909090909</v>
      </c>
      <c r="D53" s="3" t="n">
        <v>0.015026976</v>
      </c>
      <c r="E53" s="4" t="n">
        <v>0.008551075</v>
      </c>
      <c r="F53" s="15" t="n">
        <f aca="false">MIN(ABS(C53-$B$52), ABS(C53-180-$B$52), ABS(C53+180-$B$52))</f>
        <v>30.270909091</v>
      </c>
    </row>
    <row r="54" customFormat="false" ht="14.25" hidden="false" customHeight="false" outlineLevel="0" collapsed="false">
      <c r="C54" s="2" t="n">
        <v>-81.818181818</v>
      </c>
      <c r="D54" s="3" t="n">
        <v>0.012437902</v>
      </c>
      <c r="E54" s="4" t="n">
        <v>0.008551075</v>
      </c>
      <c r="F54" s="15" t="n">
        <f aca="false">MIN(ABS(C54-$B$52), ABS(C54-180-$B$52), ABS(C54+180-$B$52))</f>
        <v>34.361818182</v>
      </c>
    </row>
    <row r="55" customFormat="false" ht="14.25" hidden="false" customHeight="false" outlineLevel="0" collapsed="false">
      <c r="C55" s="2" t="n">
        <v>-77.727272727</v>
      </c>
      <c r="D55" s="3" t="n">
        <v>0.010783101</v>
      </c>
      <c r="E55" s="4" t="n">
        <v>0.008551075</v>
      </c>
      <c r="F55" s="15" t="n">
        <f aca="false">MIN(ABS(C55-$B$52), ABS(C55-180-$B$52), ABS(C55+180-$B$52))</f>
        <v>38.452727273</v>
      </c>
      <c r="G55" s="1" t="e">
        <f aca="false">#REF!/G52</f>
        <v>#REF!</v>
      </c>
    </row>
    <row r="56" customFormat="false" ht="14.25" hidden="false" customHeight="false" outlineLevel="0" collapsed="false">
      <c r="C56" s="2" t="n">
        <v>-73.636363636</v>
      </c>
      <c r="D56" s="3" t="n">
        <v>0.009519003</v>
      </c>
      <c r="E56" s="4" t="n">
        <v>0.008551075</v>
      </c>
      <c r="F56" s="15" t="n">
        <f aca="false">MIN(ABS(C56-$B$52), ABS(C56-180-$B$52), ABS(C56+180-$B$52))</f>
        <v>42.543636364</v>
      </c>
    </row>
    <row r="57" customFormat="false" ht="14.25" hidden="false" customHeight="false" outlineLevel="0" collapsed="false">
      <c r="C57" s="2" t="n">
        <v>-69.545454545</v>
      </c>
      <c r="D57" s="3" t="n">
        <v>0.008895051</v>
      </c>
      <c r="E57" s="4" t="n">
        <v>0.008551075</v>
      </c>
      <c r="F57" s="15" t="n">
        <f aca="false">MIN(ABS(C57-$B$52), ABS(C57-180-$B$52), ABS(C57+180-$B$52))</f>
        <v>46.634545455</v>
      </c>
    </row>
    <row r="58" customFormat="false" ht="14.25" hidden="false" customHeight="false" outlineLevel="0" collapsed="false">
      <c r="C58" s="2" t="n">
        <v>-65.454545455</v>
      </c>
      <c r="D58" s="3" t="n">
        <v>0.008380533</v>
      </c>
      <c r="E58" s="4" t="n">
        <v>0.008551075</v>
      </c>
      <c r="F58" s="15" t="n">
        <f aca="false">MIN(ABS(C58-$B$52), ABS(C58-180-$B$52), ABS(C58+180-$B$52))</f>
        <v>50.725454545</v>
      </c>
    </row>
    <row r="59" customFormat="false" ht="14.25" hidden="false" customHeight="false" outlineLevel="0" collapsed="false">
      <c r="C59" s="2" t="n">
        <v>-61.363636364</v>
      </c>
      <c r="D59" s="3" t="n">
        <v>0.0081934</v>
      </c>
      <c r="E59" s="4" t="n">
        <v>0.008551075</v>
      </c>
      <c r="F59" s="15" t="n">
        <f aca="false">MIN(ABS(C59-$B$52), ABS(C59-180-$B$52), ABS(C59+180-$B$52))</f>
        <v>54.816363636</v>
      </c>
    </row>
    <row r="60" customFormat="false" ht="14.25" hidden="false" customHeight="false" outlineLevel="0" collapsed="false">
      <c r="C60" s="2" t="n">
        <v>-57.272727273</v>
      </c>
      <c r="D60" s="3" t="n">
        <v>0.007698315</v>
      </c>
      <c r="E60" s="4" t="n">
        <v>0.008551075</v>
      </c>
      <c r="F60" s="15" t="n">
        <f aca="false">MIN(ABS(C60-$B$52), ABS(C60-180-$B$52), ABS(C60+180-$B$52))</f>
        <v>58.907272727</v>
      </c>
    </row>
    <row r="61" customFormat="false" ht="14.25" hidden="false" customHeight="false" outlineLevel="0" collapsed="false">
      <c r="C61" s="2" t="n">
        <v>-53.181818182</v>
      </c>
      <c r="D61" s="3" t="n">
        <v>0.00739152</v>
      </c>
      <c r="E61" s="4" t="n">
        <v>0.008551075</v>
      </c>
      <c r="F61" s="15" t="n">
        <f aca="false">MIN(ABS(C61-$B$52), ABS(C61-180-$B$52), ABS(C61+180-$B$52))</f>
        <v>62.998181818</v>
      </c>
    </row>
    <row r="62" customFormat="false" ht="14.25" hidden="false" customHeight="false" outlineLevel="0" collapsed="false">
      <c r="C62" s="2" t="n">
        <v>-49.090909091</v>
      </c>
      <c r="D62" s="3" t="n">
        <v>0.006860465</v>
      </c>
      <c r="E62" s="4" t="n">
        <v>0.008551075</v>
      </c>
      <c r="F62" s="15" t="n">
        <f aca="false">MIN(ABS(C62-$B$52), ABS(C62-180-$B$52), ABS(C62+180-$B$52))</f>
        <v>67.089090909</v>
      </c>
    </row>
    <row r="63" customFormat="false" ht="14.25" hidden="false" customHeight="false" outlineLevel="0" collapsed="false">
      <c r="C63" s="2" t="n">
        <v>-45</v>
      </c>
      <c r="D63" s="3" t="n">
        <v>0.006723906</v>
      </c>
      <c r="E63" s="4" t="n">
        <v>0.008551075</v>
      </c>
      <c r="F63" s="15" t="n">
        <f aca="false">MIN(ABS(C63-$B$52), ABS(C63-180-$B$52), ABS(C63+180-$B$52))</f>
        <v>71.18</v>
      </c>
    </row>
    <row r="64" customFormat="false" ht="14.25" hidden="false" customHeight="false" outlineLevel="0" collapsed="false">
      <c r="C64" s="2" t="n">
        <v>-40.909090909</v>
      </c>
      <c r="D64" s="3" t="n">
        <v>0.006339293</v>
      </c>
      <c r="E64" s="4" t="n">
        <v>0.008551075</v>
      </c>
      <c r="F64" s="15" t="n">
        <f aca="false">MIN(ABS(C64-$B$52), ABS(C64-180-$B$52), ABS(C64+180-$B$52))</f>
        <v>75.270909091</v>
      </c>
    </row>
    <row r="65" customFormat="false" ht="14.25" hidden="false" customHeight="false" outlineLevel="0" collapsed="false">
      <c r="C65" s="2" t="n">
        <v>-36.818181818</v>
      </c>
      <c r="D65" s="3" t="n">
        <v>0.006380325</v>
      </c>
      <c r="E65" s="4" t="n">
        <v>0.008551075</v>
      </c>
      <c r="F65" s="15" t="n">
        <f aca="false">MIN(ABS(C65-$B$52), ABS(C65-180-$B$52), ABS(C65+180-$B$52))</f>
        <v>79.361818182</v>
      </c>
    </row>
    <row r="66" customFormat="false" ht="14.25" hidden="false" customHeight="false" outlineLevel="0" collapsed="false">
      <c r="C66" s="2" t="n">
        <v>-32.727272727</v>
      </c>
      <c r="D66" s="3" t="n">
        <v>0.006273628</v>
      </c>
      <c r="E66" s="4" t="n">
        <v>0.008551075</v>
      </c>
      <c r="F66" s="15" t="n">
        <f aca="false">MIN(ABS(C66-$B$52), ABS(C66-180-$B$52), ABS(C66+180-$B$52))</f>
        <v>83.452727273</v>
      </c>
    </row>
    <row r="67" customFormat="false" ht="14.25" hidden="false" customHeight="false" outlineLevel="0" collapsed="false">
      <c r="C67" s="2" t="n">
        <v>-28.636363636</v>
      </c>
      <c r="D67" s="3" t="n">
        <v>0.006350534</v>
      </c>
      <c r="E67" s="4" t="n">
        <v>0.008551075</v>
      </c>
      <c r="F67" s="15" t="n">
        <f aca="false">MIN(ABS(C67-$B$52), ABS(C67-180-$B$52), ABS(C67+180-$B$52))</f>
        <v>87.543636364</v>
      </c>
    </row>
    <row r="68" customFormat="false" ht="14.25" hidden="false" customHeight="false" outlineLevel="0" collapsed="false">
      <c r="C68" s="2" t="n">
        <v>-24.545454545</v>
      </c>
      <c r="D68" s="3" t="n">
        <v>0.006631746</v>
      </c>
      <c r="E68" s="4" t="n">
        <v>0.008551075</v>
      </c>
      <c r="F68" s="15" t="n">
        <f aca="false">MIN(ABS(C68-$B$52), ABS(C68-180-$B$52), ABS(C68+180-$B$52))</f>
        <v>88.365454545</v>
      </c>
    </row>
    <row r="69" customFormat="false" ht="14.25" hidden="false" customHeight="false" outlineLevel="0" collapsed="false">
      <c r="C69" s="2" t="n">
        <v>-20.454545455</v>
      </c>
      <c r="D69" s="3" t="n">
        <v>0.00662907</v>
      </c>
      <c r="E69" s="4" t="n">
        <v>0.008551075</v>
      </c>
      <c r="F69" s="15" t="n">
        <f aca="false">MIN(ABS(C69-$B$52), ABS(C69-180-$B$52), ABS(C69+180-$B$52))</f>
        <v>84.274545455</v>
      </c>
    </row>
    <row r="70" customFormat="false" ht="14.25" hidden="false" customHeight="false" outlineLevel="0" collapsed="false">
      <c r="C70" s="2" t="n">
        <v>-16.363636364</v>
      </c>
      <c r="D70" s="3" t="n">
        <v>0.006536104</v>
      </c>
      <c r="E70" s="4" t="n">
        <v>0.008551075</v>
      </c>
      <c r="F70" s="15" t="n">
        <f aca="false">MIN(ABS(C70-$B$52), ABS(C70-180-$B$52), ABS(C70+180-$B$52))</f>
        <v>80.183636364</v>
      </c>
    </row>
    <row r="71" customFormat="false" ht="14.25" hidden="false" customHeight="false" outlineLevel="0" collapsed="false">
      <c r="C71" s="2" t="n">
        <v>-12.272727273</v>
      </c>
      <c r="D71" s="3" t="n">
        <v>0.006699289</v>
      </c>
      <c r="E71" s="4" t="n">
        <v>0.008551075</v>
      </c>
      <c r="F71" s="15" t="n">
        <f aca="false">MIN(ABS(C71-$B$52), ABS(C71-180-$B$52), ABS(C71+180-$B$52))</f>
        <v>76.092727273</v>
      </c>
    </row>
    <row r="72" customFormat="false" ht="14.25" hidden="false" customHeight="false" outlineLevel="0" collapsed="false">
      <c r="C72" s="2" t="n">
        <v>-8.181818182</v>
      </c>
      <c r="D72" s="3" t="n">
        <v>0.007302248</v>
      </c>
      <c r="E72" s="4" t="n">
        <v>0.008551078</v>
      </c>
      <c r="F72" s="15" t="n">
        <f aca="false">MIN(ABS(C72-$B$52), ABS(C72-180-$B$52), ABS(C72+180-$B$52))</f>
        <v>72.001818182</v>
      </c>
    </row>
    <row r="73" customFormat="false" ht="14.25" hidden="false" customHeight="false" outlineLevel="0" collapsed="false">
      <c r="C73" s="2" t="n">
        <v>-4.090909091</v>
      </c>
      <c r="D73" s="3" t="n">
        <v>0.007645018</v>
      </c>
      <c r="E73" s="4" t="n">
        <v>0.008551096</v>
      </c>
      <c r="F73" s="15" t="n">
        <f aca="false">MIN(ABS(C73-$B$52), ABS(C73-180-$B$52), ABS(C73+180-$B$52))</f>
        <v>67.910909091</v>
      </c>
    </row>
    <row r="74" customFormat="false" ht="14.25" hidden="false" customHeight="false" outlineLevel="0" collapsed="false">
      <c r="C74" s="2" t="n">
        <v>0</v>
      </c>
      <c r="D74" s="3" t="n">
        <v>0.008270727</v>
      </c>
      <c r="E74" s="4" t="n">
        <v>0.008551199</v>
      </c>
      <c r="F74" s="15" t="n">
        <f aca="false">MIN(ABS(C74-$B$52), ABS(C74-180-$B$52), ABS(C74+180-$B$52))</f>
        <v>63.82</v>
      </c>
    </row>
    <row r="75" customFormat="false" ht="14.25" hidden="false" customHeight="false" outlineLevel="0" collapsed="false">
      <c r="C75" s="2" t="n">
        <v>4.090909091</v>
      </c>
      <c r="D75" s="3" t="n">
        <v>0.008266411</v>
      </c>
      <c r="E75" s="4" t="n">
        <v>0.008551732</v>
      </c>
      <c r="F75" s="15" t="n">
        <f aca="false">MIN(ABS(C75-$B$52), ABS(C75-180-$B$52), ABS(C75+180-$B$52))</f>
        <v>59.729090909</v>
      </c>
    </row>
    <row r="76" customFormat="false" ht="14.25" hidden="false" customHeight="false" outlineLevel="0" collapsed="false">
      <c r="C76" s="2" t="n">
        <v>8.181818182</v>
      </c>
      <c r="D76" s="3" t="n">
        <v>0.007890412</v>
      </c>
      <c r="E76" s="4" t="n">
        <v>0.008554182</v>
      </c>
      <c r="F76" s="15" t="n">
        <f aca="false">MIN(ABS(C76-$B$52), ABS(C76-180-$B$52), ABS(C76+180-$B$52))</f>
        <v>55.638181818</v>
      </c>
    </row>
    <row r="77" customFormat="false" ht="14.25" hidden="false" customHeight="false" outlineLevel="0" collapsed="false">
      <c r="C77" s="2" t="n">
        <v>12.272727273</v>
      </c>
      <c r="D77" s="3" t="n">
        <v>0.008070317</v>
      </c>
      <c r="E77" s="4" t="n">
        <v>0.008564224</v>
      </c>
      <c r="F77" s="15" t="n">
        <f aca="false">MIN(ABS(C77-$B$52), ABS(C77-180-$B$52), ABS(C77+180-$B$52))</f>
        <v>51.547272727</v>
      </c>
    </row>
    <row r="78" customFormat="false" ht="14.25" hidden="false" customHeight="false" outlineLevel="0" collapsed="false">
      <c r="C78" s="2" t="n">
        <v>16.363636364</v>
      </c>
      <c r="D78" s="3" t="n">
        <v>0.008729899</v>
      </c>
      <c r="E78" s="4" t="n">
        <v>0.008600915</v>
      </c>
      <c r="F78" s="15" t="n">
        <f aca="false">MIN(ABS(C78-$B$52), ABS(C78-180-$B$52), ABS(C78+180-$B$52))</f>
        <v>47.456363636</v>
      </c>
    </row>
    <row r="79" customFormat="false" ht="14.25" hidden="false" customHeight="false" outlineLevel="0" collapsed="false">
      <c r="C79" s="2" t="n">
        <v>20.454545455</v>
      </c>
      <c r="D79" s="3" t="n">
        <v>0.010051266</v>
      </c>
      <c r="E79" s="4" t="n">
        <v>0.008720288</v>
      </c>
      <c r="F79" s="15" t="n">
        <f aca="false">MIN(ABS(C79-$B$52), ABS(C79-180-$B$52), ABS(C79+180-$B$52))</f>
        <v>43.365454545</v>
      </c>
    </row>
    <row r="80" customFormat="false" ht="14.25" hidden="false" customHeight="false" outlineLevel="0" collapsed="false">
      <c r="C80" s="2" t="n">
        <v>24.545454545</v>
      </c>
      <c r="D80" s="3" t="n">
        <v>0.011348331</v>
      </c>
      <c r="E80" s="4" t="n">
        <v>0.009065675</v>
      </c>
      <c r="F80" s="15" t="n">
        <f aca="false">MIN(ABS(C80-$B$52), ABS(C80-180-$B$52), ABS(C80+180-$B$52))</f>
        <v>39.274545455</v>
      </c>
    </row>
    <row r="81" customFormat="false" ht="14.25" hidden="false" customHeight="false" outlineLevel="0" collapsed="false">
      <c r="C81" s="2" t="n">
        <v>28.636363636</v>
      </c>
      <c r="D81" s="3" t="n">
        <v>0.013375001</v>
      </c>
      <c r="E81" s="4" t="n">
        <v>0.009952868</v>
      </c>
      <c r="F81" s="15" t="n">
        <f aca="false">MIN(ABS(C81-$B$52), ABS(C81-180-$B$52), ABS(C81+180-$B$52))</f>
        <v>35.183636364</v>
      </c>
    </row>
    <row r="82" customFormat="false" ht="14.25" hidden="false" customHeight="false" outlineLevel="0" collapsed="false">
      <c r="C82" s="2" t="n">
        <v>32.727272727</v>
      </c>
      <c r="D82" s="3" t="n">
        <v>0.015726867</v>
      </c>
      <c r="E82" s="4" t="n">
        <v>0.011971488</v>
      </c>
      <c r="F82" s="15" t="n">
        <f aca="false">MIN(ABS(C82-$B$52), ABS(C82-180-$B$52), ABS(C82+180-$B$52))</f>
        <v>31.092727273</v>
      </c>
    </row>
    <row r="83" customFormat="false" ht="14.25" hidden="false" customHeight="false" outlineLevel="0" collapsed="false">
      <c r="C83" s="2" t="n">
        <v>36.818181818</v>
      </c>
      <c r="D83" s="3" t="n">
        <v>0.016628252</v>
      </c>
      <c r="E83" s="4" t="n">
        <v>0.016026798</v>
      </c>
      <c r="F83" s="15" t="n">
        <f aca="false">MIN(ABS(C83-$B$52), ABS(C83-180-$B$52), ABS(C83+180-$B$52))</f>
        <v>27.001818182</v>
      </c>
    </row>
    <row r="84" customFormat="false" ht="14.25" hidden="false" customHeight="false" outlineLevel="0" collapsed="false">
      <c r="C84" s="2" t="n">
        <v>40.909090909</v>
      </c>
      <c r="D84" s="3" t="n">
        <v>0.021497082</v>
      </c>
      <c r="E84" s="4" t="n">
        <v>0.023186592</v>
      </c>
      <c r="F84" s="15" t="n">
        <f aca="false">MIN(ABS(C84-$B$52), ABS(C84-180-$B$52), ABS(C84+180-$B$52))</f>
        <v>22.910909091</v>
      </c>
    </row>
    <row r="85" customFormat="false" ht="14.25" hidden="false" customHeight="false" outlineLevel="0" collapsed="false">
      <c r="C85" s="2" t="n">
        <v>45</v>
      </c>
      <c r="D85" s="3" t="n">
        <v>0.032823934</v>
      </c>
      <c r="E85" s="4" t="n">
        <v>0.034216182</v>
      </c>
      <c r="F85" s="15" t="n">
        <f aca="false">MIN(ABS(C85-$B$52), ABS(C85-180-$B$52), ABS(C85+180-$B$52))</f>
        <v>18.82</v>
      </c>
    </row>
    <row r="86" customFormat="false" ht="14.25" hidden="false" customHeight="false" outlineLevel="0" collapsed="false">
      <c r="C86" s="2" t="n">
        <v>49.090909091</v>
      </c>
      <c r="D86" s="3" t="n">
        <v>0.046325528</v>
      </c>
      <c r="E86" s="4" t="n">
        <v>0.048865293</v>
      </c>
      <c r="F86" s="15" t="n">
        <f aca="false">MIN(ABS(C86-$B$52), ABS(C86-180-$B$52), ABS(C86+180-$B$52))</f>
        <v>14.729090909</v>
      </c>
    </row>
    <row r="87" customFormat="false" ht="14.25" hidden="false" customHeight="false" outlineLevel="0" collapsed="false">
      <c r="C87" s="2" t="n">
        <v>53.181818182</v>
      </c>
      <c r="D87" s="3" t="n">
        <v>0.082574948</v>
      </c>
      <c r="E87" s="4" t="n">
        <v>0.065273341</v>
      </c>
      <c r="F87" s="15" t="n">
        <f aca="false">MIN(ABS(C87-$B$52), ABS(C87-180-$B$52), ABS(C87+180-$B$52))</f>
        <v>10.638181818</v>
      </c>
    </row>
    <row r="88" customFormat="false" ht="14.25" hidden="false" customHeight="false" outlineLevel="0" collapsed="false">
      <c r="C88" s="2" t="n">
        <v>57.272727273</v>
      </c>
      <c r="D88" s="3" t="n">
        <v>0.080653053</v>
      </c>
      <c r="E88" s="4" t="n">
        <v>0.080038405</v>
      </c>
      <c r="F88" s="15" t="n">
        <f aca="false">MIN(ABS(C88-$B$52), ABS(C88-180-$B$52), ABS(C88+180-$B$52))</f>
        <v>6.547272727</v>
      </c>
    </row>
    <row r="89" customFormat="false" ht="14.25" hidden="false" customHeight="false" outlineLevel="0" collapsed="false">
      <c r="C89" s="2" t="n">
        <v>61.363636364</v>
      </c>
      <c r="D89" s="3" t="n">
        <v>0.065005686</v>
      </c>
      <c r="E89" s="4" t="n">
        <v>0.089253158</v>
      </c>
      <c r="F89" s="15" t="n">
        <f aca="false">MIN(ABS(C89-$B$52), ABS(C89-180-$B$52), ABS(C89+180-$B$52))</f>
        <v>2.456363636</v>
      </c>
    </row>
    <row r="90" customFormat="false" ht="14.25" hidden="false" customHeight="false" outlineLevel="0" collapsed="false">
      <c r="C90" s="2" t="n">
        <v>65.454545455</v>
      </c>
      <c r="D90" s="3" t="n">
        <v>0.080175895</v>
      </c>
      <c r="E90" s="4" t="n">
        <v>0.090156791</v>
      </c>
      <c r="F90" s="15" t="n">
        <f aca="false">MIN(ABS(C90-$B$52), ABS(C90-180-$B$52), ABS(C90+180-$B$52))</f>
        <v>1.634545455</v>
      </c>
    </row>
    <row r="91" customFormat="false" ht="14.25" hidden="false" customHeight="false" outlineLevel="0" collapsed="false">
      <c r="C91" s="2" t="n">
        <v>69.545454545</v>
      </c>
      <c r="D91" s="3" t="n">
        <v>0.112591262</v>
      </c>
      <c r="E91" s="4" t="n">
        <v>0.082466756</v>
      </c>
      <c r="F91" s="15" t="n">
        <f aca="false">MIN(ABS(C91-$B$52), ABS(C91-180-$B$52), ABS(C91+180-$B$52))</f>
        <v>5.725454545</v>
      </c>
    </row>
    <row r="92" customFormat="false" ht="14.25" hidden="false" customHeight="false" outlineLevel="0" collapsed="false">
      <c r="C92" s="2" t="n">
        <v>73.636363636</v>
      </c>
      <c r="D92" s="3" t="n">
        <v>0.072928814</v>
      </c>
      <c r="E92" s="4" t="n">
        <v>0.068520896</v>
      </c>
      <c r="F92" s="15" t="n">
        <f aca="false">MIN(ABS(C92-$B$52), ABS(C92-180-$B$52), ABS(C92+180-$B$52))</f>
        <v>9.816363636</v>
      </c>
    </row>
    <row r="93" customFormat="false" ht="14.25" hidden="false" customHeight="false" outlineLevel="0" collapsed="false">
      <c r="C93" s="2" t="n">
        <v>77.727272727</v>
      </c>
      <c r="D93" s="3" t="n">
        <v>0.045516267</v>
      </c>
      <c r="E93" s="4" t="n">
        <v>0.052133269</v>
      </c>
      <c r="F93" s="15" t="n">
        <f aca="false">MIN(ABS(C93-$B$52), ABS(C93-180-$B$52), ABS(C93+180-$B$52))</f>
        <v>13.907272727</v>
      </c>
    </row>
    <row r="94" s="19" customFormat="true" ht="14.25" hidden="false" customHeight="false" outlineLevel="0" collapsed="false">
      <c r="A94" s="1"/>
      <c r="B94" s="1"/>
      <c r="C94" s="2" t="n">
        <v>81.818181818</v>
      </c>
      <c r="D94" s="3" t="n">
        <v>0.02891065</v>
      </c>
      <c r="E94" s="4" t="n">
        <v>0.036921484</v>
      </c>
      <c r="F94" s="15" t="n">
        <f aca="false">MIN(ABS(C94-$B$52), ABS(C94-180-$B$52), ABS(C94+180-$B$52))</f>
        <v>17.998181818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XEZ94" s="0"/>
      <c r="XFA94" s="0"/>
      <c r="XFB94" s="0"/>
      <c r="XFC94" s="0"/>
    </row>
    <row r="95" customFormat="false" ht="14.25" hidden="false" customHeight="false" outlineLevel="0" collapsed="false">
      <c r="C95" s="2" t="n">
        <v>85.909090909</v>
      </c>
      <c r="D95" s="3" t="n">
        <v>0.019681575</v>
      </c>
      <c r="E95" s="4" t="n">
        <v>0.025093618</v>
      </c>
      <c r="F95" s="15" t="n">
        <f aca="false">MIN(ABS(C95-$B$52), ABS(C95-180-$B$52), ABS(C95+180-$B$52))</f>
        <v>22.089090909</v>
      </c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</row>
    <row r="96" customFormat="false" ht="14.25" hidden="false" customHeight="false" outlineLevel="0" collapsed="false">
      <c r="A96" s="19"/>
      <c r="B96" s="19"/>
      <c r="C96" s="20" t="n">
        <v>90</v>
      </c>
      <c r="D96" s="21" t="n">
        <v>0.017130197</v>
      </c>
      <c r="E96" s="22" t="n">
        <v>0.017191182</v>
      </c>
      <c r="F96" s="15" t="n">
        <f aca="false">MIN(ABS(C96-$B$52), ABS(C96-180-$B$52), ABS(C96+180-$B$52))</f>
        <v>26.18</v>
      </c>
      <c r="G96" s="19"/>
      <c r="H96" s="19"/>
    </row>
    <row r="97" customFormat="false" ht="14.25" hidden="false" customHeight="false" outlineLevel="0" collapsed="false">
      <c r="A97" s="14" t="n">
        <v>20241115</v>
      </c>
      <c r="B97" s="14" t="n">
        <v>60.96</v>
      </c>
      <c r="C97" s="2" t="n">
        <v>-90</v>
      </c>
      <c r="D97" s="3" t="n">
        <v>0.012276625</v>
      </c>
      <c r="E97" s="4" t="n">
        <v>0.005809601</v>
      </c>
      <c r="F97" s="15" t="n">
        <f aca="false">MIN(ABS(C97-$B$97), ABS(C97-180-$B$97), ABS(C97+180-$B$97))</f>
        <v>29.04</v>
      </c>
      <c r="G97" s="16" t="n">
        <f aca="false" t="array" ref="G97:G97">SQRT(SUMPRODUCT(D97:D141,F97:F141*F97:F141))</f>
        <v>28.0134428001972</v>
      </c>
      <c r="H97" s="3" t="n">
        <f aca="false" t="array" ref="H97:H97">SUMPRODUCT(D97:D141,ABS(F97:F141))</f>
        <v>19.1371519464243</v>
      </c>
    </row>
    <row r="98" customFormat="false" ht="14.25" hidden="false" customHeight="false" outlineLevel="0" collapsed="false">
      <c r="C98" s="2" t="n">
        <v>-85.909090909</v>
      </c>
      <c r="D98" s="3" t="n">
        <v>0.009373212</v>
      </c>
      <c r="E98" s="4" t="n">
        <v>0.005809601</v>
      </c>
      <c r="F98" s="15" t="n">
        <f aca="false">MIN(ABS(C98-$B$97), ABS(C98-180-$B$97), ABS(C98+180-$B$97))</f>
        <v>33.130909091</v>
      </c>
    </row>
    <row r="99" customFormat="false" ht="14.25" hidden="false" customHeight="false" outlineLevel="0" collapsed="false">
      <c r="C99" s="2" t="n">
        <v>-81.818181818</v>
      </c>
      <c r="D99" s="3" t="n">
        <v>0.007987191</v>
      </c>
      <c r="E99" s="4" t="n">
        <v>0.005809601</v>
      </c>
      <c r="F99" s="15" t="n">
        <f aca="false">MIN(ABS(C99-$B$97), ABS(C99-180-$B$97), ABS(C99+180-$B$97))</f>
        <v>37.221818182</v>
      </c>
    </row>
    <row r="100" customFormat="false" ht="14.25" hidden="false" customHeight="false" outlineLevel="0" collapsed="false">
      <c r="C100" s="2" t="n">
        <v>-77.727272727</v>
      </c>
      <c r="D100" s="3" t="n">
        <v>0.007375056</v>
      </c>
      <c r="E100" s="4" t="n">
        <v>0.005809601</v>
      </c>
      <c r="F100" s="15" t="n">
        <f aca="false">MIN(ABS(C100-$B$97), ABS(C100-180-$B$97), ABS(C100+180-$B$97))</f>
        <v>41.312727273</v>
      </c>
    </row>
    <row r="101" customFormat="false" ht="14.25" hidden="false" customHeight="false" outlineLevel="0" collapsed="false">
      <c r="C101" s="2" t="n">
        <v>-73.636363636</v>
      </c>
      <c r="D101" s="3" t="n">
        <v>0.006522778</v>
      </c>
      <c r="E101" s="4" t="n">
        <v>0.005809601</v>
      </c>
      <c r="F101" s="15" t="n">
        <f aca="false">MIN(ABS(C101-$B$97), ABS(C101-180-$B$97), ABS(C101+180-$B$97))</f>
        <v>45.403636364</v>
      </c>
      <c r="G101" s="1" t="e">
        <f aca="false">#REF!/G97</f>
        <v>#REF!</v>
      </c>
    </row>
    <row r="102" customFormat="false" ht="14.25" hidden="false" customHeight="false" outlineLevel="0" collapsed="false">
      <c r="C102" s="2" t="n">
        <v>-69.545454545</v>
      </c>
      <c r="D102" s="3" t="n">
        <v>0.006096905</v>
      </c>
      <c r="E102" s="4" t="n">
        <v>0.005809601</v>
      </c>
      <c r="F102" s="15" t="n">
        <f aca="false">MIN(ABS(C102-$B$97), ABS(C102-180-$B$97), ABS(C102+180-$B$97))</f>
        <v>49.494545455</v>
      </c>
    </row>
    <row r="103" customFormat="false" ht="14.25" hidden="false" customHeight="false" outlineLevel="0" collapsed="false">
      <c r="C103" s="2" t="n">
        <v>-65.454545455</v>
      </c>
      <c r="D103" s="3" t="n">
        <v>0.005939295</v>
      </c>
      <c r="E103" s="4" t="n">
        <v>0.005809601</v>
      </c>
      <c r="F103" s="15" t="n">
        <f aca="false">MIN(ABS(C103-$B$97), ABS(C103-180-$B$97), ABS(C103+180-$B$97))</f>
        <v>53.585454545</v>
      </c>
    </row>
    <row r="104" customFormat="false" ht="14.25" hidden="false" customHeight="false" outlineLevel="0" collapsed="false">
      <c r="C104" s="2" t="n">
        <v>-61.363636364</v>
      </c>
      <c r="D104" s="3" t="n">
        <v>0.005489628</v>
      </c>
      <c r="E104" s="4" t="n">
        <v>0.005809601</v>
      </c>
      <c r="F104" s="15" t="n">
        <f aca="false">MIN(ABS(C104-$B$97), ABS(C104-180-$B$97), ABS(C104+180-$B$97))</f>
        <v>57.676363636</v>
      </c>
    </row>
    <row r="105" customFormat="false" ht="14.25" hidden="false" customHeight="false" outlineLevel="0" collapsed="false">
      <c r="C105" s="2" t="n">
        <v>-57.272727273</v>
      </c>
      <c r="D105" s="3" t="n">
        <v>0.005164835</v>
      </c>
      <c r="E105" s="4" t="n">
        <v>0.005809601</v>
      </c>
      <c r="F105" s="15" t="n">
        <f aca="false">MIN(ABS(C105-$B$97), ABS(C105-180-$B$97), ABS(C105+180-$B$97))</f>
        <v>61.767272727</v>
      </c>
    </row>
    <row r="106" customFormat="false" ht="14.25" hidden="false" customHeight="false" outlineLevel="0" collapsed="false">
      <c r="C106" s="2" t="n">
        <v>-53.181818182</v>
      </c>
      <c r="D106" s="3" t="n">
        <v>0.005363147</v>
      </c>
      <c r="E106" s="4" t="n">
        <v>0.005809601</v>
      </c>
      <c r="F106" s="15" t="n">
        <f aca="false">MIN(ABS(C106-$B$97), ABS(C106-180-$B$97), ABS(C106+180-$B$97))</f>
        <v>65.858181818</v>
      </c>
    </row>
    <row r="107" customFormat="false" ht="14.25" hidden="false" customHeight="false" outlineLevel="0" collapsed="false">
      <c r="C107" s="2" t="n">
        <v>-49.090909091</v>
      </c>
      <c r="D107" s="3" t="n">
        <v>0.005175422</v>
      </c>
      <c r="E107" s="4" t="n">
        <v>0.005809601</v>
      </c>
      <c r="F107" s="15" t="n">
        <f aca="false">MIN(ABS(C107-$B$97), ABS(C107-180-$B$97), ABS(C107+180-$B$97))</f>
        <v>69.949090909</v>
      </c>
    </row>
    <row r="108" customFormat="false" ht="14.25" hidden="false" customHeight="false" outlineLevel="0" collapsed="false">
      <c r="C108" s="2" t="n">
        <v>-45</v>
      </c>
      <c r="D108" s="3" t="n">
        <v>0.005314492</v>
      </c>
      <c r="E108" s="4" t="n">
        <v>0.005809601</v>
      </c>
      <c r="F108" s="15" t="n">
        <f aca="false">MIN(ABS(C108-$B$97), ABS(C108-180-$B$97), ABS(C108+180-$B$97))</f>
        <v>74.04</v>
      </c>
    </row>
    <row r="109" customFormat="false" ht="14.25" hidden="false" customHeight="false" outlineLevel="0" collapsed="false">
      <c r="C109" s="2" t="n">
        <v>-40.909090909</v>
      </c>
      <c r="D109" s="3" t="n">
        <v>0.005034781</v>
      </c>
      <c r="E109" s="4" t="n">
        <v>0.005809601</v>
      </c>
      <c r="F109" s="15" t="n">
        <f aca="false">MIN(ABS(C109-$B$97), ABS(C109-180-$B$97), ABS(C109+180-$B$97))</f>
        <v>78.130909091</v>
      </c>
    </row>
    <row r="110" customFormat="false" ht="14.25" hidden="false" customHeight="false" outlineLevel="0" collapsed="false">
      <c r="C110" s="2" t="n">
        <v>-36.818181818</v>
      </c>
      <c r="D110" s="3" t="n">
        <v>0.004929966</v>
      </c>
      <c r="E110" s="4" t="n">
        <v>0.005809601</v>
      </c>
      <c r="F110" s="15" t="n">
        <f aca="false">MIN(ABS(C110-$B$97), ABS(C110-180-$B$97), ABS(C110+180-$B$97))</f>
        <v>82.221818182</v>
      </c>
    </row>
    <row r="111" customFormat="false" ht="14.25" hidden="false" customHeight="false" outlineLevel="0" collapsed="false">
      <c r="C111" s="2" t="n">
        <v>-32.727272727</v>
      </c>
      <c r="D111" s="3" t="n">
        <v>0.004824803</v>
      </c>
      <c r="E111" s="4" t="n">
        <v>0.005809601</v>
      </c>
      <c r="F111" s="15" t="n">
        <f aca="false">MIN(ABS(C111-$B$97), ABS(C111-180-$B$97), ABS(C111+180-$B$97))</f>
        <v>86.312727273</v>
      </c>
    </row>
    <row r="112" customFormat="false" ht="14.25" hidden="false" customHeight="false" outlineLevel="0" collapsed="false">
      <c r="C112" s="2" t="n">
        <v>-28.636363636</v>
      </c>
      <c r="D112" s="3" t="n">
        <v>0.005025601</v>
      </c>
      <c r="E112" s="4" t="n">
        <v>0.005809601</v>
      </c>
      <c r="F112" s="15" t="n">
        <f aca="false">MIN(ABS(C112-$B$97), ABS(C112-180-$B$97), ABS(C112+180-$B$97))</f>
        <v>89.596363636</v>
      </c>
    </row>
    <row r="113" customFormat="false" ht="14.25" hidden="false" customHeight="false" outlineLevel="0" collapsed="false">
      <c r="C113" s="2" t="n">
        <v>-24.545454545</v>
      </c>
      <c r="D113" s="3" t="n">
        <v>0.005306452</v>
      </c>
      <c r="E113" s="4" t="n">
        <v>0.005809601</v>
      </c>
      <c r="F113" s="15" t="n">
        <f aca="false">MIN(ABS(C113-$B$97), ABS(C113-180-$B$97), ABS(C113+180-$B$97))</f>
        <v>85.505454545</v>
      </c>
    </row>
    <row r="114" customFormat="false" ht="14.25" hidden="false" customHeight="false" outlineLevel="0" collapsed="false">
      <c r="C114" s="2" t="n">
        <v>-20.454545455</v>
      </c>
      <c r="D114" s="3" t="n">
        <v>0.005242622</v>
      </c>
      <c r="E114" s="4" t="n">
        <v>0.005809601</v>
      </c>
      <c r="F114" s="15" t="n">
        <f aca="false">MIN(ABS(C114-$B$97), ABS(C114-180-$B$97), ABS(C114+180-$B$97))</f>
        <v>81.414545455</v>
      </c>
    </row>
    <row r="115" customFormat="false" ht="14.25" hidden="false" customHeight="false" outlineLevel="0" collapsed="false">
      <c r="C115" s="2" t="n">
        <v>-16.363636364</v>
      </c>
      <c r="D115" s="3" t="n">
        <v>0.005263081</v>
      </c>
      <c r="E115" s="4" t="n">
        <v>0.005809603</v>
      </c>
      <c r="F115" s="15" t="n">
        <f aca="false">MIN(ABS(C115-$B$97), ABS(C115-180-$B$97), ABS(C115+180-$B$97))</f>
        <v>77.323636364</v>
      </c>
    </row>
    <row r="116" customFormat="false" ht="14.25" hidden="false" customHeight="false" outlineLevel="0" collapsed="false">
      <c r="C116" s="2" t="n">
        <v>-12.272727273</v>
      </c>
      <c r="D116" s="3" t="n">
        <v>0.005350236</v>
      </c>
      <c r="E116" s="4" t="n">
        <v>0.005809617</v>
      </c>
      <c r="F116" s="15" t="n">
        <f aca="false">MIN(ABS(C116-$B$97), ABS(C116-180-$B$97), ABS(C116+180-$B$97))</f>
        <v>73.232727273</v>
      </c>
    </row>
    <row r="117" customFormat="false" ht="14.25" hidden="false" customHeight="false" outlineLevel="0" collapsed="false">
      <c r="C117" s="2" t="n">
        <v>-8.181818182</v>
      </c>
      <c r="D117" s="3" t="n">
        <v>0.005690496</v>
      </c>
      <c r="E117" s="4" t="n">
        <v>0.005809689</v>
      </c>
      <c r="F117" s="15" t="n">
        <f aca="false">MIN(ABS(C117-$B$97), ABS(C117-180-$B$97), ABS(C117+180-$B$97))</f>
        <v>69.141818182</v>
      </c>
    </row>
    <row r="118" customFormat="false" ht="14.25" hidden="false" customHeight="false" outlineLevel="0" collapsed="false">
      <c r="C118" s="2" t="n">
        <v>-4.090909091</v>
      </c>
      <c r="D118" s="3" t="n">
        <v>0.006013881</v>
      </c>
      <c r="E118" s="4" t="n">
        <v>0.005810035</v>
      </c>
      <c r="F118" s="15" t="n">
        <f aca="false">MIN(ABS(C118-$B$97), ABS(C118-180-$B$97), ABS(C118+180-$B$97))</f>
        <v>65.050909091</v>
      </c>
    </row>
    <row r="119" customFormat="false" ht="14.25" hidden="false" customHeight="false" outlineLevel="0" collapsed="false">
      <c r="C119" s="2" t="n">
        <v>0</v>
      </c>
      <c r="D119" s="3" t="n">
        <v>0.005983499</v>
      </c>
      <c r="E119" s="4" t="n">
        <v>0.005811537</v>
      </c>
      <c r="F119" s="15" t="n">
        <f aca="false">MIN(ABS(C119-$B$97), ABS(C119-180-$B$97), ABS(C119+180-$B$97))</f>
        <v>60.96</v>
      </c>
    </row>
    <row r="120" customFormat="false" ht="14.25" hidden="false" customHeight="false" outlineLevel="0" collapsed="false">
      <c r="C120" s="2" t="n">
        <v>4.090909091</v>
      </c>
      <c r="D120" s="3" t="n">
        <v>0.006218039</v>
      </c>
      <c r="E120" s="4" t="n">
        <v>0.005817434</v>
      </c>
      <c r="F120" s="15" t="n">
        <f aca="false">MIN(ABS(C120-$B$97), ABS(C120-180-$B$97), ABS(C120+180-$B$97))</f>
        <v>56.869090909</v>
      </c>
    </row>
    <row r="121" customFormat="false" ht="14.25" hidden="false" customHeight="false" outlineLevel="0" collapsed="false">
      <c r="C121" s="2" t="n">
        <v>8.181818182</v>
      </c>
      <c r="D121" s="3" t="n">
        <v>0.006412168</v>
      </c>
      <c r="E121" s="4" t="n">
        <v>0.00583836</v>
      </c>
      <c r="F121" s="15" t="n">
        <f aca="false">MIN(ABS(C121-$B$97), ABS(C121-180-$B$97), ABS(C121+180-$B$97))</f>
        <v>52.778181818</v>
      </c>
    </row>
    <row r="122" customFormat="false" ht="14.25" hidden="false" customHeight="false" outlineLevel="0" collapsed="false">
      <c r="C122" s="2" t="n">
        <v>12.272727273</v>
      </c>
      <c r="D122" s="3" t="n">
        <v>0.006490081</v>
      </c>
      <c r="E122" s="4" t="n">
        <v>0.005905425</v>
      </c>
      <c r="F122" s="15" t="n">
        <f aca="false">MIN(ABS(C122-$B$97), ABS(C122-180-$B$97), ABS(C122+180-$B$97))</f>
        <v>48.687272727</v>
      </c>
    </row>
    <row r="123" customFormat="false" ht="14.25" hidden="false" customHeight="false" outlineLevel="0" collapsed="false">
      <c r="C123" s="2" t="n">
        <v>16.363636364</v>
      </c>
      <c r="D123" s="3" t="n">
        <v>0.006982054</v>
      </c>
      <c r="E123" s="4" t="n">
        <v>0.006099352</v>
      </c>
      <c r="F123" s="15" t="n">
        <f aca="false">MIN(ABS(C123-$B$97), ABS(C123-180-$B$97), ABS(C123+180-$B$97))</f>
        <v>44.596363636</v>
      </c>
    </row>
    <row r="124" customFormat="false" ht="14.25" hidden="false" customHeight="false" outlineLevel="0" collapsed="false">
      <c r="C124" s="2" t="n">
        <v>20.454545455</v>
      </c>
      <c r="D124" s="3" t="n">
        <v>0.008390121</v>
      </c>
      <c r="E124" s="4" t="n">
        <v>0.006604712</v>
      </c>
      <c r="F124" s="15" t="n">
        <f aca="false">MIN(ABS(C124-$B$97), ABS(C124-180-$B$97), ABS(C124+180-$B$97))</f>
        <v>40.505454545</v>
      </c>
    </row>
    <row r="125" customFormat="false" ht="14.25" hidden="false" customHeight="false" outlineLevel="0" collapsed="false">
      <c r="C125" s="2" t="n">
        <v>24.545454545</v>
      </c>
      <c r="D125" s="3" t="n">
        <v>0.009319139</v>
      </c>
      <c r="E125" s="4" t="n">
        <v>0.007789688</v>
      </c>
      <c r="F125" s="15" t="n">
        <f aca="false">MIN(ABS(C125-$B$97), ABS(C125-180-$B$97), ABS(C125+180-$B$97))</f>
        <v>36.414545455</v>
      </c>
    </row>
    <row r="126" customFormat="false" ht="14.25" hidden="false" customHeight="false" outlineLevel="0" collapsed="false">
      <c r="C126" s="2" t="n">
        <v>28.636363636</v>
      </c>
      <c r="D126" s="3" t="n">
        <v>0.011611023</v>
      </c>
      <c r="E126" s="4" t="n">
        <v>0.01028461</v>
      </c>
      <c r="F126" s="15" t="n">
        <f aca="false">MIN(ABS(C126-$B$97), ABS(C126-180-$B$97), ABS(C126+180-$B$97))</f>
        <v>32.323636364</v>
      </c>
    </row>
    <row r="127" customFormat="false" ht="14.25" hidden="false" customHeight="false" outlineLevel="0" collapsed="false">
      <c r="C127" s="2" t="n">
        <v>32.727272727</v>
      </c>
      <c r="D127" s="3" t="n">
        <v>0.014512982</v>
      </c>
      <c r="E127" s="4" t="n">
        <v>0.014987791</v>
      </c>
      <c r="F127" s="15" t="n">
        <f aca="false">MIN(ABS(C127-$B$97), ABS(C127-180-$B$97), ABS(C127+180-$B$97))</f>
        <v>28.232727273</v>
      </c>
    </row>
    <row r="128" customFormat="false" ht="14.25" hidden="false" customHeight="false" outlineLevel="0" collapsed="false">
      <c r="C128" s="2" t="n">
        <v>36.818181818</v>
      </c>
      <c r="D128" s="3" t="n">
        <v>0.019581983</v>
      </c>
      <c r="E128" s="4" t="n">
        <v>0.022892978</v>
      </c>
      <c r="F128" s="15" t="n">
        <f aca="false">MIN(ABS(C128-$B$97), ABS(C128-180-$B$97), ABS(C128+180-$B$97))</f>
        <v>24.141818182</v>
      </c>
    </row>
    <row r="129" customFormat="false" ht="14.25" hidden="false" customHeight="false" outlineLevel="0" collapsed="false">
      <c r="C129" s="2" t="n">
        <v>40.909090909</v>
      </c>
      <c r="D129" s="3" t="n">
        <v>0.025497596</v>
      </c>
      <c r="E129" s="4" t="n">
        <v>0.034666116</v>
      </c>
      <c r="F129" s="15" t="n">
        <f aca="false">MIN(ABS(C129-$B$97), ABS(C129-180-$B$97), ABS(C129+180-$B$97))</f>
        <v>20.050909091</v>
      </c>
    </row>
    <row r="130" customFormat="false" ht="14.25" hidden="false" customHeight="false" outlineLevel="0" collapsed="false">
      <c r="C130" s="2" t="n">
        <v>45</v>
      </c>
      <c r="D130" s="3" t="n">
        <v>0.039572432</v>
      </c>
      <c r="E130" s="4" t="n">
        <v>0.050044755</v>
      </c>
      <c r="F130" s="15" t="n">
        <f aca="false">MIN(ABS(C130-$B$97), ABS(C130-180-$B$97), ABS(C130+180-$B$97))</f>
        <v>15.96</v>
      </c>
    </row>
    <row r="131" customFormat="false" ht="14.25" hidden="false" customHeight="false" outlineLevel="0" collapsed="false">
      <c r="C131" s="2" t="n">
        <v>49.090909091</v>
      </c>
      <c r="D131" s="3" t="n">
        <v>0.076357481</v>
      </c>
      <c r="E131" s="4" t="n">
        <v>0.067347789</v>
      </c>
      <c r="F131" s="15" t="n">
        <f aca="false">MIN(ABS(C131-$B$97), ABS(C131-180-$B$97), ABS(C131+180-$B$97))</f>
        <v>11.869090909</v>
      </c>
    </row>
    <row r="132" customFormat="false" ht="14.25" hidden="false" customHeight="false" outlineLevel="0" collapsed="false">
      <c r="C132" s="2" t="n">
        <v>53.181818182</v>
      </c>
      <c r="D132" s="3" t="n">
        <v>0.110820492</v>
      </c>
      <c r="E132" s="4" t="n">
        <v>0.083501435</v>
      </c>
      <c r="F132" s="15" t="n">
        <f aca="false">MIN(ABS(C132-$B$97), ABS(C132-180-$B$97), ABS(C132+180-$B$97))</f>
        <v>7.778181818</v>
      </c>
    </row>
    <row r="133" customFormat="false" ht="14.25" hidden="false" customHeight="false" outlineLevel="0" collapsed="false">
      <c r="C133" s="2" t="n">
        <v>57.272727273</v>
      </c>
      <c r="D133" s="3" t="n">
        <v>0.098653658</v>
      </c>
      <c r="E133" s="4" t="n">
        <v>0.094823852</v>
      </c>
      <c r="F133" s="15" t="n">
        <f aca="false">MIN(ABS(C133-$B$97), ABS(C133-180-$B$97), ABS(C133+180-$B$97))</f>
        <v>3.687272727</v>
      </c>
    </row>
    <row r="134" customFormat="false" ht="14.25" hidden="false" customHeight="false" outlineLevel="0" collapsed="false">
      <c r="C134" s="2" t="n">
        <v>61.363636364</v>
      </c>
      <c r="D134" s="3" t="n">
        <v>0.068612113</v>
      </c>
      <c r="E134" s="4" t="n">
        <v>0.098364031</v>
      </c>
      <c r="F134" s="15" t="n">
        <f aca="false">MIN(ABS(C134-$B$97), ABS(C134-180-$B$97), ABS(C134+180-$B$97))</f>
        <v>0.403636364</v>
      </c>
    </row>
    <row r="135" customFormat="false" ht="14.25" hidden="false" customHeight="false" outlineLevel="0" collapsed="false">
      <c r="C135" s="2" t="n">
        <v>65.454545455</v>
      </c>
      <c r="D135" s="3" t="n">
        <v>0.061825369</v>
      </c>
      <c r="E135" s="4" t="n">
        <v>0.093144613</v>
      </c>
      <c r="F135" s="15" t="n">
        <f aca="false">MIN(ABS(C135-$B$97), ABS(C135-180-$B$97), ABS(C135+180-$B$97))</f>
        <v>4.494545455</v>
      </c>
    </row>
    <row r="136" customFormat="false" ht="14.25" hidden="false" customHeight="false" outlineLevel="0" collapsed="false">
      <c r="C136" s="2" t="n">
        <v>69.545454545</v>
      </c>
      <c r="D136" s="3" t="n">
        <v>0.120294799</v>
      </c>
      <c r="E136" s="4" t="n">
        <v>0.080597798</v>
      </c>
      <c r="F136" s="15" t="n">
        <f aca="false">MIN(ABS(C136-$B$97), ABS(C136-180-$B$97), ABS(C136+180-$B$97))</f>
        <v>8.585454545</v>
      </c>
    </row>
    <row r="137" customFormat="false" ht="14.25" hidden="false" customHeight="false" outlineLevel="0" collapsed="false">
      <c r="C137" s="2" t="n">
        <v>73.636363636</v>
      </c>
      <c r="D137" s="3" t="n">
        <v>0.081519387</v>
      </c>
      <c r="E137" s="4" t="n">
        <v>0.063930355</v>
      </c>
      <c r="F137" s="15" t="n">
        <f aca="false">MIN(ABS(C137-$B$97), ABS(C137-180-$B$97), ABS(C137+180-$B$97))</f>
        <v>12.676363636</v>
      </c>
    </row>
    <row r="138" customFormat="false" ht="14.25" hidden="false" customHeight="false" outlineLevel="0" collapsed="false">
      <c r="C138" s="2" t="n">
        <v>77.727272727</v>
      </c>
      <c r="D138" s="3" t="n">
        <v>0.037977879</v>
      </c>
      <c r="E138" s="4" t="n">
        <v>0.046800073</v>
      </c>
      <c r="F138" s="15" t="n">
        <f aca="false">MIN(ABS(C138-$B$97), ABS(C138-180-$B$97), ABS(C138+180-$B$97))</f>
        <v>16.767272727</v>
      </c>
    </row>
    <row r="139" s="19" customFormat="true" ht="14.25" hidden="false" customHeight="false" outlineLevel="0" collapsed="false">
      <c r="A139" s="1"/>
      <c r="B139" s="1"/>
      <c r="C139" s="2" t="n">
        <v>81.818181818</v>
      </c>
      <c r="D139" s="3" t="n">
        <v>0.021826868</v>
      </c>
      <c r="E139" s="4" t="n">
        <v>0.032045026</v>
      </c>
      <c r="F139" s="15" t="n">
        <f aca="false">MIN(ABS(C139-$B$97), ABS(C139-180-$B$97), ABS(C139+180-$B$97))</f>
        <v>20.858181818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XEZ139" s="0"/>
      <c r="XFA139" s="0"/>
      <c r="XFB139" s="0"/>
      <c r="XFC139" s="0"/>
    </row>
    <row r="140" customFormat="false" ht="14.25" hidden="false" customHeight="false" outlineLevel="0" collapsed="false">
      <c r="C140" s="2" t="n">
        <v>85.909090909</v>
      </c>
      <c r="D140" s="3" t="n">
        <v>0.014503706</v>
      </c>
      <c r="E140" s="4" t="n">
        <v>0.021048261</v>
      </c>
      <c r="F140" s="15" t="n">
        <f aca="false">MIN(ABS(C140-$B$97), ABS(C140-180-$B$97), ABS(C140+180-$B$97))</f>
        <v>24.949090909</v>
      </c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</row>
    <row r="141" customFormat="false" ht="14.25" hidden="false" customHeight="false" outlineLevel="0" collapsed="false">
      <c r="A141" s="19"/>
      <c r="B141" s="19"/>
      <c r="C141" s="20" t="n">
        <v>90</v>
      </c>
      <c r="D141" s="21" t="n">
        <v>0.012276625</v>
      </c>
      <c r="E141" s="22" t="n">
        <v>0.013842253</v>
      </c>
      <c r="F141" s="15" t="n">
        <f aca="false">MIN(ABS(C141-$B$97), ABS(C141-180-$B$97), ABS(C141+180-$B$97))</f>
        <v>29.04</v>
      </c>
      <c r="G141" s="19"/>
      <c r="H141" s="19"/>
    </row>
    <row r="142" customFormat="false" ht="14.25" hidden="false" customHeight="false" outlineLevel="0" collapsed="false">
      <c r="A142" s="14" t="n">
        <v>20241115</v>
      </c>
      <c r="B142" s="14" t="n">
        <v>57.96</v>
      </c>
      <c r="C142" s="2" t="n">
        <v>-90</v>
      </c>
      <c r="D142" s="3" t="n">
        <v>0.013740356</v>
      </c>
      <c r="E142" s="4" t="n">
        <v>0.006041186</v>
      </c>
      <c r="F142" s="15" t="n">
        <f aca="false">MIN(ABS(C142-$B$142), ABS(C142-180-$B$142), ABS(C142+180-$B$142))</f>
        <v>32.04</v>
      </c>
      <c r="G142" s="16" t="n">
        <f aca="false" t="array" ref="G142:G142">SQRT(SUMPRODUCT(D142:D186,F142:F186*F142:F186))</f>
        <v>27.1568492120052</v>
      </c>
      <c r="H142" s="3" t="n">
        <f aca="false" t="array" ref="H142:H142">SUMPRODUCT(D142:D186,ABS(F142:F186))</f>
        <v>17.9684455401572</v>
      </c>
    </row>
    <row r="143" customFormat="false" ht="14.25" hidden="false" customHeight="false" outlineLevel="0" collapsed="false">
      <c r="C143" s="2" t="n">
        <v>-85.909090909</v>
      </c>
      <c r="D143" s="3" t="n">
        <v>0.008970186</v>
      </c>
      <c r="E143" s="4" t="n">
        <v>0.006041186</v>
      </c>
      <c r="F143" s="15" t="n">
        <f aca="false">MIN(ABS(C143-$B$142), ABS(C143-180-$B$142), ABS(C143+180-$B$142))</f>
        <v>36.130909091</v>
      </c>
    </row>
    <row r="144" customFormat="false" ht="14.25" hidden="false" customHeight="false" outlineLevel="0" collapsed="false">
      <c r="C144" s="2" t="n">
        <v>-81.818181818</v>
      </c>
      <c r="D144" s="3" t="n">
        <v>0.007847787</v>
      </c>
      <c r="E144" s="4" t="n">
        <v>0.006041186</v>
      </c>
      <c r="F144" s="15" t="n">
        <f aca="false">MIN(ABS(C144-$B$142), ABS(C144-180-$B$142), ABS(C144+180-$B$142))</f>
        <v>40.221818182</v>
      </c>
    </row>
    <row r="145" customFormat="false" ht="14.25" hidden="false" customHeight="false" outlineLevel="0" collapsed="false">
      <c r="C145" s="2" t="n">
        <v>-77.727272727</v>
      </c>
      <c r="D145" s="3" t="n">
        <v>0.006864242</v>
      </c>
      <c r="E145" s="4" t="n">
        <v>0.006041186</v>
      </c>
      <c r="F145" s="15" t="n">
        <f aca="false">MIN(ABS(C145-$B$142), ABS(C145-180-$B$142), ABS(C145+180-$B$142))</f>
        <v>44.312727273</v>
      </c>
    </row>
    <row r="146" customFormat="false" ht="14.25" hidden="false" customHeight="false" outlineLevel="0" collapsed="false">
      <c r="C146" s="2" t="n">
        <v>-73.636363636</v>
      </c>
      <c r="D146" s="3" t="n">
        <v>0.005944011</v>
      </c>
      <c r="E146" s="4" t="n">
        <v>0.006041186</v>
      </c>
      <c r="F146" s="15" t="n">
        <f aca="false">MIN(ABS(C146-$B$142), ABS(C146-180-$B$142), ABS(C146+180-$B$142))</f>
        <v>48.403636364</v>
      </c>
      <c r="G146" s="1" t="e">
        <f aca="false">#REF!/G142</f>
        <v>#REF!</v>
      </c>
    </row>
    <row r="147" customFormat="false" ht="14.25" hidden="false" customHeight="false" outlineLevel="0" collapsed="false">
      <c r="C147" s="2" t="n">
        <v>-69.545454545</v>
      </c>
      <c r="D147" s="3" t="n">
        <v>0.005960333</v>
      </c>
      <c r="E147" s="4" t="n">
        <v>0.006041186</v>
      </c>
      <c r="F147" s="15" t="n">
        <f aca="false">MIN(ABS(C147-$B$142), ABS(C147-180-$B$142), ABS(C147+180-$B$142))</f>
        <v>52.494545455</v>
      </c>
    </row>
    <row r="148" customFormat="false" ht="14.25" hidden="false" customHeight="false" outlineLevel="0" collapsed="false">
      <c r="C148" s="2" t="n">
        <v>-65.454545455</v>
      </c>
      <c r="D148" s="3" t="n">
        <v>0.005649892</v>
      </c>
      <c r="E148" s="4" t="n">
        <v>0.006041186</v>
      </c>
      <c r="F148" s="15" t="n">
        <f aca="false">MIN(ABS(C148-$B$142), ABS(C148-180-$B$142), ABS(C148+180-$B$142))</f>
        <v>56.585454545</v>
      </c>
    </row>
    <row r="149" customFormat="false" ht="14.25" hidden="false" customHeight="false" outlineLevel="0" collapsed="false">
      <c r="C149" s="2" t="n">
        <v>-61.363636364</v>
      </c>
      <c r="D149" s="3" t="n">
        <v>0.005184572</v>
      </c>
      <c r="E149" s="4" t="n">
        <v>0.006041186</v>
      </c>
      <c r="F149" s="15" t="n">
        <f aca="false">MIN(ABS(C149-$B$142), ABS(C149-180-$B$142), ABS(C149+180-$B$142))</f>
        <v>60.676363636</v>
      </c>
    </row>
    <row r="150" customFormat="false" ht="14.25" hidden="false" customHeight="false" outlineLevel="0" collapsed="false">
      <c r="C150" s="2" t="n">
        <v>-57.272727273</v>
      </c>
      <c r="D150" s="3" t="n">
        <v>0.005234753</v>
      </c>
      <c r="E150" s="4" t="n">
        <v>0.006041186</v>
      </c>
      <c r="F150" s="15" t="n">
        <f aca="false">MIN(ABS(C150-$B$142), ABS(C150-180-$B$142), ABS(C150+180-$B$142))</f>
        <v>64.767272727</v>
      </c>
    </row>
    <row r="151" customFormat="false" ht="14.25" hidden="false" customHeight="false" outlineLevel="0" collapsed="false">
      <c r="C151" s="2" t="n">
        <v>-53.181818182</v>
      </c>
      <c r="D151" s="3" t="n">
        <v>0.005091823</v>
      </c>
      <c r="E151" s="4" t="n">
        <v>0.006041186</v>
      </c>
      <c r="F151" s="15" t="n">
        <f aca="false">MIN(ABS(C151-$B$142), ABS(C151-180-$B$142), ABS(C151+180-$B$142))</f>
        <v>68.858181818</v>
      </c>
    </row>
    <row r="152" customFormat="false" ht="14.25" hidden="false" customHeight="false" outlineLevel="0" collapsed="false">
      <c r="C152" s="2" t="n">
        <v>-49.090909091</v>
      </c>
      <c r="D152" s="3" t="n">
        <v>0.004879736</v>
      </c>
      <c r="E152" s="4" t="n">
        <v>0.006041186</v>
      </c>
      <c r="F152" s="15" t="n">
        <f aca="false">MIN(ABS(C152-$B$142), ABS(C152-180-$B$142), ABS(C152+180-$B$142))</f>
        <v>72.949090909</v>
      </c>
    </row>
    <row r="153" customFormat="false" ht="14.25" hidden="false" customHeight="false" outlineLevel="0" collapsed="false">
      <c r="C153" s="2" t="n">
        <v>-45</v>
      </c>
      <c r="D153" s="3" t="n">
        <v>0.005508701</v>
      </c>
      <c r="E153" s="4" t="n">
        <v>0.006041186</v>
      </c>
      <c r="F153" s="15" t="n">
        <f aca="false">MIN(ABS(C153-$B$142), ABS(C153-180-$B$142), ABS(C153+180-$B$142))</f>
        <v>77.04</v>
      </c>
    </row>
    <row r="154" customFormat="false" ht="14.25" hidden="false" customHeight="false" outlineLevel="0" collapsed="false">
      <c r="C154" s="2" t="n">
        <v>-40.909090909</v>
      </c>
      <c r="D154" s="3" t="n">
        <v>0.004794479</v>
      </c>
      <c r="E154" s="4" t="n">
        <v>0.006041186</v>
      </c>
      <c r="F154" s="15" t="n">
        <f aca="false">MIN(ABS(C154-$B$142), ABS(C154-180-$B$142), ABS(C154+180-$B$142))</f>
        <v>81.130909091</v>
      </c>
    </row>
    <row r="155" customFormat="false" ht="14.25" hidden="false" customHeight="false" outlineLevel="0" collapsed="false">
      <c r="C155" s="2" t="n">
        <v>-36.818181818</v>
      </c>
      <c r="D155" s="3" t="n">
        <v>0.005026122</v>
      </c>
      <c r="E155" s="4" t="n">
        <v>0.006041186</v>
      </c>
      <c r="F155" s="15" t="n">
        <f aca="false">MIN(ABS(C155-$B$142), ABS(C155-180-$B$142), ABS(C155+180-$B$142))</f>
        <v>85.221818182</v>
      </c>
    </row>
    <row r="156" customFormat="false" ht="14.25" hidden="false" customHeight="false" outlineLevel="0" collapsed="false">
      <c r="C156" s="2" t="n">
        <v>-32.727272727</v>
      </c>
      <c r="D156" s="3" t="n">
        <v>0.004593667</v>
      </c>
      <c r="E156" s="4" t="n">
        <v>0.006041186</v>
      </c>
      <c r="F156" s="15" t="n">
        <f aca="false">MIN(ABS(C156-$B$142), ABS(C156-180-$B$142), ABS(C156+180-$B$142))</f>
        <v>89.312727273</v>
      </c>
    </row>
    <row r="157" customFormat="false" ht="14.25" hidden="false" customHeight="false" outlineLevel="0" collapsed="false">
      <c r="C157" s="2" t="n">
        <v>-28.636363636</v>
      </c>
      <c r="D157" s="3" t="n">
        <v>0.004499029</v>
      </c>
      <c r="E157" s="4" t="n">
        <v>0.006041186</v>
      </c>
      <c r="F157" s="15" t="n">
        <f aca="false">MIN(ABS(C157-$B$142), ABS(C157-180-$B$142), ABS(C157+180-$B$142))</f>
        <v>86.596363636</v>
      </c>
    </row>
    <row r="158" customFormat="false" ht="14.25" hidden="false" customHeight="false" outlineLevel="0" collapsed="false">
      <c r="C158" s="2" t="n">
        <v>-24.545454545</v>
      </c>
      <c r="D158" s="3" t="n">
        <v>0.004505399</v>
      </c>
      <c r="E158" s="4" t="n">
        <v>0.006041186</v>
      </c>
      <c r="F158" s="15" t="n">
        <f aca="false">MIN(ABS(C158-$B$142), ABS(C158-180-$B$142), ABS(C158+180-$B$142))</f>
        <v>82.505454545</v>
      </c>
    </row>
    <row r="159" customFormat="false" ht="14.25" hidden="false" customHeight="false" outlineLevel="0" collapsed="false">
      <c r="C159" s="2" t="n">
        <v>-20.454545455</v>
      </c>
      <c r="D159" s="3" t="n">
        <v>0.004714219</v>
      </c>
      <c r="E159" s="4" t="n">
        <v>0.006041186</v>
      </c>
      <c r="F159" s="15" t="n">
        <f aca="false">MIN(ABS(C159-$B$142), ABS(C159-180-$B$142), ABS(C159+180-$B$142))</f>
        <v>78.414545455</v>
      </c>
    </row>
    <row r="160" customFormat="false" ht="14.25" hidden="false" customHeight="false" outlineLevel="0" collapsed="false">
      <c r="C160" s="2" t="n">
        <v>-16.363636364</v>
      </c>
      <c r="D160" s="3" t="n">
        <v>0.004715113</v>
      </c>
      <c r="E160" s="4" t="n">
        <v>0.006041186</v>
      </c>
      <c r="F160" s="15" t="n">
        <f aca="false">MIN(ABS(C160-$B$142), ABS(C160-180-$B$142), ABS(C160+180-$B$142))</f>
        <v>74.323636364</v>
      </c>
    </row>
    <row r="161" customFormat="false" ht="14.25" hidden="false" customHeight="false" outlineLevel="0" collapsed="false">
      <c r="C161" s="2" t="n">
        <v>-12.272727273</v>
      </c>
      <c r="D161" s="3" t="n">
        <v>0.004925564</v>
      </c>
      <c r="E161" s="4" t="n">
        <v>0.006041186</v>
      </c>
      <c r="F161" s="15" t="n">
        <f aca="false">MIN(ABS(C161-$B$142), ABS(C161-180-$B$142), ABS(C161+180-$B$142))</f>
        <v>70.232727273</v>
      </c>
    </row>
    <row r="162" customFormat="false" ht="14.25" hidden="false" customHeight="false" outlineLevel="0" collapsed="false">
      <c r="C162" s="2" t="n">
        <v>-8.181818182</v>
      </c>
      <c r="D162" s="3" t="n">
        <v>0.00513762</v>
      </c>
      <c r="E162" s="4" t="n">
        <v>0.00604119</v>
      </c>
      <c r="F162" s="15" t="n">
        <f aca="false">MIN(ABS(C162-$B$142), ABS(C162-180-$B$142), ABS(C162+180-$B$142))</f>
        <v>66.141818182</v>
      </c>
    </row>
    <row r="163" customFormat="false" ht="14.25" hidden="false" customHeight="false" outlineLevel="0" collapsed="false">
      <c r="C163" s="2" t="n">
        <v>-4.090909091</v>
      </c>
      <c r="D163" s="3" t="n">
        <v>0.005524014</v>
      </c>
      <c r="E163" s="4" t="n">
        <v>0.006041218</v>
      </c>
      <c r="F163" s="15" t="n">
        <f aca="false">MIN(ABS(C163-$B$142), ABS(C163-180-$B$142), ABS(C163+180-$B$142))</f>
        <v>62.050909091</v>
      </c>
    </row>
    <row r="164" customFormat="false" ht="14.25" hidden="false" customHeight="false" outlineLevel="0" collapsed="false">
      <c r="C164" s="2" t="n">
        <v>0</v>
      </c>
      <c r="D164" s="3" t="n">
        <v>0.005973417</v>
      </c>
      <c r="E164" s="4" t="n">
        <v>0.006041404</v>
      </c>
      <c r="F164" s="15" t="n">
        <f aca="false">MIN(ABS(C164-$B$142), ABS(C164-180-$B$142), ABS(C164+180-$B$142))</f>
        <v>57.96</v>
      </c>
    </row>
    <row r="165" customFormat="false" ht="14.25" hidden="false" customHeight="false" outlineLevel="0" collapsed="false">
      <c r="C165" s="2" t="n">
        <v>4.090909091</v>
      </c>
      <c r="D165" s="3" t="n">
        <v>0.005850127</v>
      </c>
      <c r="E165" s="4" t="n">
        <v>0.006042484</v>
      </c>
      <c r="F165" s="15" t="n">
        <f aca="false">MIN(ABS(C165-$B$142), ABS(C165-180-$B$142), ABS(C165+180-$B$142))</f>
        <v>53.869090909</v>
      </c>
    </row>
    <row r="166" customFormat="false" ht="14.25" hidden="false" customHeight="false" outlineLevel="0" collapsed="false">
      <c r="C166" s="2" t="n">
        <v>8.181818182</v>
      </c>
      <c r="D166" s="3" t="n">
        <v>0.00575066</v>
      </c>
      <c r="E166" s="4" t="n">
        <v>0.006047952</v>
      </c>
      <c r="F166" s="15" t="n">
        <f aca="false">MIN(ABS(C166-$B$142), ABS(C166-180-$B$142), ABS(C166+180-$B$142))</f>
        <v>49.778181818</v>
      </c>
    </row>
    <row r="167" customFormat="false" ht="14.25" hidden="false" customHeight="false" outlineLevel="0" collapsed="false">
      <c r="C167" s="2" t="n">
        <v>12.272727273</v>
      </c>
      <c r="D167" s="3" t="n">
        <v>0.00569054</v>
      </c>
      <c r="E167" s="4" t="n">
        <v>0.00607215</v>
      </c>
      <c r="F167" s="15" t="n">
        <f aca="false">MIN(ABS(C167-$B$142), ABS(C167-180-$B$142), ABS(C167+180-$B$142))</f>
        <v>45.687272727</v>
      </c>
    </row>
    <row r="168" customFormat="false" ht="14.25" hidden="false" customHeight="false" outlineLevel="0" collapsed="false">
      <c r="C168" s="2" t="n">
        <v>16.363636364</v>
      </c>
      <c r="D168" s="3" t="n">
        <v>0.005989216</v>
      </c>
      <c r="E168" s="4" t="n">
        <v>0.006165567</v>
      </c>
      <c r="F168" s="15" t="n">
        <f aca="false">MIN(ABS(C168-$B$142), ABS(C168-180-$B$142), ABS(C168+180-$B$142))</f>
        <v>41.596363636</v>
      </c>
    </row>
    <row r="169" customFormat="false" ht="14.25" hidden="false" customHeight="false" outlineLevel="0" collapsed="false">
      <c r="C169" s="2" t="n">
        <v>20.454545455</v>
      </c>
      <c r="D169" s="3" t="n">
        <v>0.007084204</v>
      </c>
      <c r="E169" s="4" t="n">
        <v>0.006479755</v>
      </c>
      <c r="F169" s="15" t="n">
        <f aca="false">MIN(ABS(C169-$B$142), ABS(C169-180-$B$142), ABS(C169+180-$B$142))</f>
        <v>37.505454545</v>
      </c>
    </row>
    <row r="170" customFormat="false" ht="14.25" hidden="false" customHeight="false" outlineLevel="0" collapsed="false">
      <c r="C170" s="2" t="n">
        <v>24.545454545</v>
      </c>
      <c r="D170" s="3" t="n">
        <v>0.007247572</v>
      </c>
      <c r="E170" s="4" t="n">
        <v>0.007398612</v>
      </c>
      <c r="F170" s="15" t="n">
        <f aca="false">MIN(ABS(C170-$B$142), ABS(C170-180-$B$142), ABS(C170+180-$B$142))</f>
        <v>33.414545455</v>
      </c>
    </row>
    <row r="171" customFormat="false" ht="14.25" hidden="false" customHeight="false" outlineLevel="0" collapsed="false">
      <c r="C171" s="2" t="n">
        <v>28.636363636</v>
      </c>
      <c r="D171" s="3" t="n">
        <v>0.009209994</v>
      </c>
      <c r="E171" s="4" t="n">
        <v>0.009729181</v>
      </c>
      <c r="F171" s="15" t="n">
        <f aca="false">MIN(ABS(C171-$B$142), ABS(C171-180-$B$142), ABS(C171+180-$B$142))</f>
        <v>29.323636364</v>
      </c>
    </row>
    <row r="172" customFormat="false" ht="14.25" hidden="false" customHeight="false" outlineLevel="0" collapsed="false">
      <c r="C172" s="2" t="n">
        <v>32.727272727</v>
      </c>
      <c r="D172" s="3" t="n">
        <v>0.011706225</v>
      </c>
      <c r="E172" s="4" t="n">
        <v>0.014836683</v>
      </c>
      <c r="F172" s="15" t="n">
        <f aca="false">MIN(ABS(C172-$B$142), ABS(C172-180-$B$142), ABS(C172+180-$B$142))</f>
        <v>25.232727273</v>
      </c>
    </row>
    <row r="173" customFormat="false" ht="14.25" hidden="false" customHeight="false" outlineLevel="0" collapsed="false">
      <c r="C173" s="2" t="n">
        <v>36.818181818</v>
      </c>
      <c r="D173" s="3" t="n">
        <v>0.017354749</v>
      </c>
      <c r="E173" s="4" t="n">
        <v>0.024454267</v>
      </c>
      <c r="F173" s="15" t="n">
        <f aca="false">MIN(ABS(C173-$B$142), ABS(C173-180-$B$142), ABS(C173+180-$B$142))</f>
        <v>21.141818182</v>
      </c>
    </row>
    <row r="174" customFormat="false" ht="14.25" hidden="false" customHeight="false" outlineLevel="0" collapsed="false">
      <c r="C174" s="2" t="n">
        <v>40.909090909</v>
      </c>
      <c r="D174" s="3" t="n">
        <v>0.020845523</v>
      </c>
      <c r="E174" s="4" t="n">
        <v>0.03987793</v>
      </c>
      <c r="F174" s="15" t="n">
        <f aca="false">MIN(ABS(C174-$B$142), ABS(C174-180-$B$142), ABS(C174+180-$B$142))</f>
        <v>17.050909091</v>
      </c>
    </row>
    <row r="175" customFormat="false" ht="14.25" hidden="false" customHeight="false" outlineLevel="0" collapsed="false">
      <c r="C175" s="2" t="n">
        <v>45</v>
      </c>
      <c r="D175" s="3" t="n">
        <v>0.041771525</v>
      </c>
      <c r="E175" s="4" t="n">
        <v>0.06062284</v>
      </c>
      <c r="F175" s="15" t="n">
        <f aca="false">MIN(ABS(C175-$B$142), ABS(C175-180-$B$142), ABS(C175+180-$B$142))</f>
        <v>12.96</v>
      </c>
    </row>
    <row r="176" customFormat="false" ht="14.25" hidden="false" customHeight="false" outlineLevel="0" collapsed="false">
      <c r="C176" s="2" t="n">
        <v>49.090909091</v>
      </c>
      <c r="D176" s="3" t="n">
        <v>0.083517284</v>
      </c>
      <c r="E176" s="4" t="n">
        <v>0.083327192</v>
      </c>
      <c r="F176" s="15" t="n">
        <f aca="false">MIN(ABS(C176-$B$142), ABS(C176-180-$B$142), ABS(C176+180-$B$142))</f>
        <v>8.869090909</v>
      </c>
    </row>
    <row r="177" customFormat="false" ht="14.25" hidden="false" customHeight="false" outlineLevel="0" collapsed="false">
      <c r="C177" s="2" t="n">
        <v>53.181818182</v>
      </c>
      <c r="D177" s="3" t="n">
        <v>0.156212112</v>
      </c>
      <c r="E177" s="4" t="n">
        <v>0.102103062</v>
      </c>
      <c r="F177" s="15" t="n">
        <f aca="false">MIN(ABS(C177-$B$142), ABS(C177-180-$B$142), ABS(C177+180-$B$142))</f>
        <v>4.778181818</v>
      </c>
    </row>
    <row r="178" customFormat="false" ht="14.25" hidden="false" customHeight="false" outlineLevel="0" collapsed="false">
      <c r="C178" s="2" t="n">
        <v>57.272727273</v>
      </c>
      <c r="D178" s="3" t="n">
        <v>0.125555127</v>
      </c>
      <c r="E178" s="4" t="n">
        <v>0.110849877</v>
      </c>
      <c r="F178" s="15" t="n">
        <f aca="false">MIN(ABS(C178-$B$142), ABS(C178-180-$B$142), ABS(C178+180-$B$142))</f>
        <v>0.687272727</v>
      </c>
    </row>
    <row r="179" customFormat="false" ht="14.25" hidden="false" customHeight="false" outlineLevel="0" collapsed="false">
      <c r="C179" s="2" t="n">
        <v>61.363636364</v>
      </c>
      <c r="D179" s="3" t="n">
        <v>0.063397727</v>
      </c>
      <c r="E179" s="4" t="n">
        <v>0.106419423</v>
      </c>
      <c r="F179" s="15" t="n">
        <f aca="false">MIN(ABS(C179-$B$142), ABS(C179-180-$B$142), ABS(C179+180-$B$142))</f>
        <v>3.403636364</v>
      </c>
    </row>
    <row r="180" customFormat="false" ht="14.25" hidden="false" customHeight="false" outlineLevel="0" collapsed="false">
      <c r="C180" s="2" t="n">
        <v>65.454545455</v>
      </c>
      <c r="D180" s="3" t="n">
        <v>0.054007715</v>
      </c>
      <c r="E180" s="4" t="n">
        <v>0.090428636</v>
      </c>
      <c r="F180" s="15" t="n">
        <f aca="false">MIN(ABS(C180-$B$142), ABS(C180-180-$B$142), ABS(C180+180-$B$142))</f>
        <v>7.494545455</v>
      </c>
    </row>
    <row r="181" customFormat="false" ht="14.25" hidden="false" customHeight="false" outlineLevel="0" collapsed="false">
      <c r="C181" s="2" t="n">
        <v>69.545454545</v>
      </c>
      <c r="D181" s="3" t="n">
        <v>0.081699952</v>
      </c>
      <c r="E181" s="4" t="n">
        <v>0.068315966</v>
      </c>
      <c r="F181" s="15" t="n">
        <f aca="false">MIN(ABS(C181-$B$142), ABS(C181-180-$B$142), ABS(C181+180-$B$142))</f>
        <v>11.585454545</v>
      </c>
    </row>
    <row r="182" customFormat="false" ht="14.25" hidden="false" customHeight="false" outlineLevel="0" collapsed="false">
      <c r="C182" s="2" t="n">
        <v>73.636363636</v>
      </c>
      <c r="D182" s="3" t="n">
        <v>0.085295353</v>
      </c>
      <c r="E182" s="4" t="n">
        <v>0.046381806</v>
      </c>
      <c r="F182" s="15" t="n">
        <f aca="false">MIN(ABS(C182-$B$142), ABS(C182-180-$B$142), ABS(C182+180-$B$142))</f>
        <v>15.676363636</v>
      </c>
    </row>
    <row r="183" customFormat="false" ht="14.25" hidden="false" customHeight="false" outlineLevel="0" collapsed="false">
      <c r="C183" s="2" t="n">
        <v>77.727272727</v>
      </c>
      <c r="D183" s="3" t="n">
        <v>0.03002216</v>
      </c>
      <c r="E183" s="4" t="n">
        <v>0.028979895</v>
      </c>
      <c r="F183" s="15" t="n">
        <f aca="false">MIN(ABS(C183-$B$142), ABS(C183-180-$B$142), ABS(C183+180-$B$142))</f>
        <v>19.767272727</v>
      </c>
    </row>
    <row r="184" s="19" customFormat="true" ht="14.25" hidden="false" customHeight="false" outlineLevel="0" collapsed="false">
      <c r="A184" s="1"/>
      <c r="B184" s="1"/>
      <c r="C184" s="2" t="n">
        <v>81.818181818</v>
      </c>
      <c r="D184" s="3" t="n">
        <v>0.019318971</v>
      </c>
      <c r="E184" s="4" t="n">
        <v>0.017490815</v>
      </c>
      <c r="F184" s="15" t="n">
        <f aca="false">MIN(ABS(C184-$B$142), ABS(C184-180-$B$142), ABS(C184+180-$B$142))</f>
        <v>23.858181818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XEZ184" s="0"/>
      <c r="XFA184" s="0"/>
      <c r="XFB184" s="0"/>
      <c r="XFC184" s="0"/>
    </row>
    <row r="185" customFormat="false" ht="14.25" hidden="false" customHeight="false" outlineLevel="0" collapsed="false">
      <c r="C185" s="2" t="n">
        <v>85.909090909</v>
      </c>
      <c r="D185" s="3" t="n">
        <v>0.013447877</v>
      </c>
      <c r="E185" s="4" t="n">
        <v>0.01105779</v>
      </c>
      <c r="F185" s="15" t="n">
        <f aca="false">MIN(ABS(C185-$B$142), ABS(C185-180-$B$142), ABS(C185+180-$B$142))</f>
        <v>27.949090909</v>
      </c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</row>
    <row r="186" customFormat="false" ht="14.25" hidden="false" customHeight="false" outlineLevel="0" collapsed="false">
      <c r="A186" s="19"/>
      <c r="B186" s="19"/>
      <c r="C186" s="20" t="n">
        <v>90</v>
      </c>
      <c r="D186" s="21" t="n">
        <v>0.013740356</v>
      </c>
      <c r="E186" s="22" t="n">
        <v>0.007970595</v>
      </c>
      <c r="F186" s="15" t="n">
        <f aca="false">MIN(ABS(C186-$B$142), ABS(C186-180-$B$142), ABS(C186+180-$B$142))</f>
        <v>32.04</v>
      </c>
      <c r="G186" s="19"/>
      <c r="H186" s="19"/>
    </row>
    <row r="187" customFormat="false" ht="14.25" hidden="false" customHeight="false" outlineLevel="0" collapsed="false">
      <c r="A187" s="14" t="n">
        <v>20241115</v>
      </c>
      <c r="B187" s="14" t="n">
        <v>56.11</v>
      </c>
      <c r="C187" s="2" t="n">
        <v>-90</v>
      </c>
      <c r="D187" s="3" t="n">
        <v>0.011009075</v>
      </c>
      <c r="E187" s="4" t="n">
        <v>0.006739372</v>
      </c>
      <c r="F187" s="15" t="n">
        <f aca="false">MIN(ABS(C187-$B$187), ABS(C187-180-$B$187), ABS(C187+180-$B$187))</f>
        <v>33.89</v>
      </c>
      <c r="G187" s="16" t="n">
        <f aca="false" t="array" ref="G187:G187">SQRT(SUMPRODUCT(D187:D231,F187:F231*F187:F231))</f>
        <v>27.1943928843936</v>
      </c>
      <c r="H187" s="3" t="n">
        <f aca="false" t="array" ref="H187:H187">SUMPRODUCT(D187:D231,ABS(F187:F231))</f>
        <v>18.0102557239706</v>
      </c>
    </row>
    <row r="188" customFormat="false" ht="14.25" hidden="false" customHeight="false" outlineLevel="0" collapsed="false">
      <c r="C188" s="2" t="n">
        <v>-85.909090909</v>
      </c>
      <c r="D188" s="3" t="n">
        <v>0.008623462</v>
      </c>
      <c r="E188" s="4" t="n">
        <v>0.006739372</v>
      </c>
      <c r="F188" s="15" t="n">
        <f aca="false">MIN(ABS(C188-$B$187), ABS(C188-180-$B$187), ABS(C188+180-$B$187))</f>
        <v>37.980909091</v>
      </c>
    </row>
    <row r="189" customFormat="false" ht="14.25" hidden="false" customHeight="false" outlineLevel="0" collapsed="false">
      <c r="C189" s="2" t="n">
        <v>-81.818181818</v>
      </c>
      <c r="D189" s="3" t="n">
        <v>0.007310578</v>
      </c>
      <c r="E189" s="4" t="n">
        <v>0.006739372</v>
      </c>
      <c r="F189" s="15" t="n">
        <f aca="false">MIN(ABS(C189-$B$187), ABS(C189-180-$B$187), ABS(C189+180-$B$187))</f>
        <v>42.071818182</v>
      </c>
    </row>
    <row r="190" customFormat="false" ht="14.25" hidden="false" customHeight="false" outlineLevel="0" collapsed="false">
      <c r="C190" s="2" t="n">
        <v>-77.727272727</v>
      </c>
      <c r="D190" s="3" t="n">
        <v>0.006910304</v>
      </c>
      <c r="E190" s="4" t="n">
        <v>0.006739372</v>
      </c>
      <c r="F190" s="15" t="n">
        <f aca="false">MIN(ABS(C190-$B$187), ABS(C190-180-$B$187), ABS(C190+180-$B$187))</f>
        <v>46.162727273</v>
      </c>
      <c r="G190" s="1" t="e">
        <f aca="false">#REF!/G187</f>
        <v>#REF!</v>
      </c>
    </row>
    <row r="191" customFormat="false" ht="14.25" hidden="false" customHeight="false" outlineLevel="0" collapsed="false">
      <c r="C191" s="2" t="n">
        <v>-73.636363636</v>
      </c>
      <c r="D191" s="3" t="n">
        <v>0.006126348</v>
      </c>
      <c r="E191" s="4" t="n">
        <v>0.006739372</v>
      </c>
      <c r="F191" s="15" t="n">
        <f aca="false">MIN(ABS(C191-$B$187), ABS(C191-180-$B$187), ABS(C191+180-$B$187))</f>
        <v>50.253636364</v>
      </c>
    </row>
    <row r="192" customFormat="false" ht="14.25" hidden="false" customHeight="false" outlineLevel="0" collapsed="false">
      <c r="C192" s="2" t="n">
        <v>-69.545454545</v>
      </c>
      <c r="D192" s="3" t="n">
        <v>0.005573692</v>
      </c>
      <c r="E192" s="4" t="n">
        <v>0.006739372</v>
      </c>
      <c r="F192" s="15" t="n">
        <f aca="false">MIN(ABS(C192-$B$187), ABS(C192-180-$B$187), ABS(C192+180-$B$187))</f>
        <v>54.344545455</v>
      </c>
    </row>
    <row r="193" customFormat="false" ht="14.25" hidden="false" customHeight="false" outlineLevel="0" collapsed="false">
      <c r="C193" s="2" t="n">
        <v>-65.454545455</v>
      </c>
      <c r="D193" s="3" t="n">
        <v>0.005507162</v>
      </c>
      <c r="E193" s="4" t="n">
        <v>0.006739372</v>
      </c>
      <c r="F193" s="15" t="n">
        <f aca="false">MIN(ABS(C193-$B$187), ABS(C193-180-$B$187), ABS(C193+180-$B$187))</f>
        <v>58.435454545</v>
      </c>
    </row>
    <row r="194" customFormat="false" ht="14.25" hidden="false" customHeight="false" outlineLevel="0" collapsed="false">
      <c r="C194" s="2" t="n">
        <v>-61.363636364</v>
      </c>
      <c r="D194" s="3" t="n">
        <v>0.005224561</v>
      </c>
      <c r="E194" s="4" t="n">
        <v>0.006739372</v>
      </c>
      <c r="F194" s="15" t="n">
        <f aca="false">MIN(ABS(C194-$B$187), ABS(C194-180-$B$187), ABS(C194+180-$B$187))</f>
        <v>62.526363636</v>
      </c>
    </row>
    <row r="195" customFormat="false" ht="14.25" hidden="false" customHeight="false" outlineLevel="0" collapsed="false">
      <c r="C195" s="2" t="n">
        <v>-57.272727273</v>
      </c>
      <c r="D195" s="3" t="n">
        <v>0.005171638</v>
      </c>
      <c r="E195" s="4" t="n">
        <v>0.006739372</v>
      </c>
      <c r="F195" s="15" t="n">
        <f aca="false">MIN(ABS(C195-$B$187), ABS(C195-180-$B$187), ABS(C195+180-$B$187))</f>
        <v>66.617272727</v>
      </c>
    </row>
    <row r="196" customFormat="false" ht="14.25" hidden="false" customHeight="false" outlineLevel="0" collapsed="false">
      <c r="C196" s="2" t="n">
        <v>-53.181818182</v>
      </c>
      <c r="D196" s="3" t="n">
        <v>0.004976284</v>
      </c>
      <c r="E196" s="4" t="n">
        <v>0.006739372</v>
      </c>
      <c r="F196" s="15" t="n">
        <f aca="false">MIN(ABS(C196-$B$187), ABS(C196-180-$B$187), ABS(C196+180-$B$187))</f>
        <v>70.708181818</v>
      </c>
    </row>
    <row r="197" customFormat="false" ht="14.25" hidden="false" customHeight="false" outlineLevel="0" collapsed="false">
      <c r="C197" s="2" t="n">
        <v>-49.090909091</v>
      </c>
      <c r="D197" s="3" t="n">
        <v>0.004778908</v>
      </c>
      <c r="E197" s="4" t="n">
        <v>0.006739372</v>
      </c>
      <c r="F197" s="15" t="n">
        <f aca="false">MIN(ABS(C197-$B$187), ABS(C197-180-$B$187), ABS(C197+180-$B$187))</f>
        <v>74.799090909</v>
      </c>
    </row>
    <row r="198" customFormat="false" ht="14.25" hidden="false" customHeight="false" outlineLevel="0" collapsed="false">
      <c r="C198" s="2" t="n">
        <v>-45</v>
      </c>
      <c r="D198" s="3" t="n">
        <v>0.004788659</v>
      </c>
      <c r="E198" s="4" t="n">
        <v>0.006739372</v>
      </c>
      <c r="F198" s="15" t="n">
        <f aca="false">MIN(ABS(C198-$B$187), ABS(C198-180-$B$187), ABS(C198+180-$B$187))</f>
        <v>78.89</v>
      </c>
    </row>
    <row r="199" customFormat="false" ht="14.25" hidden="false" customHeight="false" outlineLevel="0" collapsed="false">
      <c r="C199" s="2" t="n">
        <v>-40.909090909</v>
      </c>
      <c r="D199" s="3" t="n">
        <v>0.00459188</v>
      </c>
      <c r="E199" s="4" t="n">
        <v>0.006739372</v>
      </c>
      <c r="F199" s="15" t="n">
        <f aca="false">MIN(ABS(C199-$B$187), ABS(C199-180-$B$187), ABS(C199+180-$B$187))</f>
        <v>82.980909091</v>
      </c>
    </row>
    <row r="200" customFormat="false" ht="14.25" hidden="false" customHeight="false" outlineLevel="0" collapsed="false">
      <c r="C200" s="2" t="n">
        <v>-36.818181818</v>
      </c>
      <c r="D200" s="3" t="n">
        <v>0.004594743</v>
      </c>
      <c r="E200" s="4" t="n">
        <v>0.006739372</v>
      </c>
      <c r="F200" s="15" t="n">
        <f aca="false">MIN(ABS(C200-$B$187), ABS(C200-180-$B$187), ABS(C200+180-$B$187))</f>
        <v>87.071818182</v>
      </c>
    </row>
    <row r="201" customFormat="false" ht="14.25" hidden="false" customHeight="false" outlineLevel="0" collapsed="false">
      <c r="C201" s="2" t="n">
        <v>-32.727272727</v>
      </c>
      <c r="D201" s="3" t="n">
        <v>0.004438677</v>
      </c>
      <c r="E201" s="4" t="n">
        <v>0.006739372</v>
      </c>
      <c r="F201" s="15" t="n">
        <f aca="false">MIN(ABS(C201-$B$187), ABS(C201-180-$B$187), ABS(C201+180-$B$187))</f>
        <v>88.837272727</v>
      </c>
    </row>
    <row r="202" customFormat="false" ht="14.25" hidden="false" customHeight="false" outlineLevel="0" collapsed="false">
      <c r="C202" s="2" t="n">
        <v>-28.636363636</v>
      </c>
      <c r="D202" s="3" t="n">
        <v>0.004663147</v>
      </c>
      <c r="E202" s="4" t="n">
        <v>0.006739372</v>
      </c>
      <c r="F202" s="15" t="n">
        <f aca="false">MIN(ABS(C202-$B$187), ABS(C202-180-$B$187), ABS(C202+180-$B$187))</f>
        <v>84.746363636</v>
      </c>
    </row>
    <row r="203" customFormat="false" ht="14.25" hidden="false" customHeight="false" outlineLevel="0" collapsed="false">
      <c r="C203" s="2" t="n">
        <v>-24.545454545</v>
      </c>
      <c r="D203" s="3" t="n">
        <v>0.004693595</v>
      </c>
      <c r="E203" s="4" t="n">
        <v>0.006739372</v>
      </c>
      <c r="F203" s="15" t="n">
        <f aca="false">MIN(ABS(C203-$B$187), ABS(C203-180-$B$187), ABS(C203+180-$B$187))</f>
        <v>80.655454545</v>
      </c>
    </row>
    <row r="204" customFormat="false" ht="14.25" hidden="false" customHeight="false" outlineLevel="0" collapsed="false">
      <c r="C204" s="2" t="n">
        <v>-20.454545455</v>
      </c>
      <c r="D204" s="3" t="n">
        <v>0.005075174</v>
      </c>
      <c r="E204" s="4" t="n">
        <v>0.006739372</v>
      </c>
      <c r="F204" s="15" t="n">
        <f aca="false">MIN(ABS(C204-$B$187), ABS(C204-180-$B$187), ABS(C204+180-$B$187))</f>
        <v>76.564545455</v>
      </c>
    </row>
    <row r="205" customFormat="false" ht="14.25" hidden="false" customHeight="false" outlineLevel="0" collapsed="false">
      <c r="C205" s="2" t="n">
        <v>-16.363636364</v>
      </c>
      <c r="D205" s="3" t="n">
        <v>0.004933225</v>
      </c>
      <c r="E205" s="4" t="n">
        <v>0.006739372</v>
      </c>
      <c r="F205" s="15" t="n">
        <f aca="false">MIN(ABS(C205-$B$187), ABS(C205-180-$B$187), ABS(C205+180-$B$187))</f>
        <v>72.473636364</v>
      </c>
    </row>
    <row r="206" customFormat="false" ht="14.25" hidden="false" customHeight="false" outlineLevel="0" collapsed="false">
      <c r="C206" s="2" t="n">
        <v>-12.272727273</v>
      </c>
      <c r="D206" s="3" t="n">
        <v>0.005136145</v>
      </c>
      <c r="E206" s="4" t="n">
        <v>0.006739372</v>
      </c>
      <c r="F206" s="15" t="n">
        <f aca="false">MIN(ABS(C206-$B$187), ABS(C206-180-$B$187), ABS(C206+180-$B$187))</f>
        <v>68.382727273</v>
      </c>
    </row>
    <row r="207" customFormat="false" ht="14.25" hidden="false" customHeight="false" outlineLevel="0" collapsed="false">
      <c r="C207" s="2" t="n">
        <v>-8.181818182</v>
      </c>
      <c r="D207" s="3" t="n">
        <v>0.005084907</v>
      </c>
      <c r="E207" s="4" t="n">
        <v>0.006739372</v>
      </c>
      <c r="F207" s="15" t="n">
        <f aca="false">MIN(ABS(C207-$B$187), ABS(C207-180-$B$187), ABS(C207+180-$B$187))</f>
        <v>64.291818182</v>
      </c>
    </row>
    <row r="208" customFormat="false" ht="14.25" hidden="false" customHeight="false" outlineLevel="0" collapsed="false">
      <c r="C208" s="2" t="n">
        <v>-4.090909091</v>
      </c>
      <c r="D208" s="3" t="n">
        <v>0.00522662</v>
      </c>
      <c r="E208" s="4" t="n">
        <v>0.00673938</v>
      </c>
      <c r="F208" s="15" t="n">
        <f aca="false">MIN(ABS(C208-$B$187), ABS(C208-180-$B$187), ABS(C208+180-$B$187))</f>
        <v>60.200909091</v>
      </c>
    </row>
    <row r="209" customFormat="false" ht="14.25" hidden="false" customHeight="false" outlineLevel="0" collapsed="false">
      <c r="C209" s="2" t="n">
        <v>0</v>
      </c>
      <c r="D209" s="3" t="n">
        <v>0.005889647</v>
      </c>
      <c r="E209" s="4" t="n">
        <v>0.006739442</v>
      </c>
      <c r="F209" s="15" t="n">
        <f aca="false">MIN(ABS(C209-$B$187), ABS(C209-180-$B$187), ABS(C209+180-$B$187))</f>
        <v>56.11</v>
      </c>
    </row>
    <row r="210" customFormat="false" ht="14.25" hidden="false" customHeight="false" outlineLevel="0" collapsed="false">
      <c r="C210" s="2" t="n">
        <v>4.090909091</v>
      </c>
      <c r="D210" s="3" t="n">
        <v>0.005992537</v>
      </c>
      <c r="E210" s="4" t="n">
        <v>0.006739893</v>
      </c>
      <c r="F210" s="15" t="n">
        <f aca="false">MIN(ABS(C210-$B$187), ABS(C210-180-$B$187), ABS(C210+180-$B$187))</f>
        <v>52.019090909</v>
      </c>
    </row>
    <row r="211" customFormat="false" ht="14.25" hidden="false" customHeight="false" outlineLevel="0" collapsed="false">
      <c r="C211" s="2" t="n">
        <v>8.181818182</v>
      </c>
      <c r="D211" s="3" t="n">
        <v>0.006134703</v>
      </c>
      <c r="E211" s="4" t="n">
        <v>0.006742689</v>
      </c>
      <c r="F211" s="15" t="n">
        <f aca="false">MIN(ABS(C211-$B$187), ABS(C211-180-$B$187), ABS(C211+180-$B$187))</f>
        <v>47.928181818</v>
      </c>
    </row>
    <row r="212" customFormat="false" ht="14.25" hidden="false" customHeight="false" outlineLevel="0" collapsed="false">
      <c r="C212" s="2" t="n">
        <v>12.272727273</v>
      </c>
      <c r="D212" s="3" t="n">
        <v>0.006636279</v>
      </c>
      <c r="E212" s="4" t="n">
        <v>0.006757503</v>
      </c>
      <c r="F212" s="15" t="n">
        <f aca="false">MIN(ABS(C212-$B$187), ABS(C212-180-$B$187), ABS(C212+180-$B$187))</f>
        <v>43.837272727</v>
      </c>
    </row>
    <row r="213" customFormat="false" ht="14.25" hidden="false" customHeight="false" outlineLevel="0" collapsed="false">
      <c r="C213" s="2" t="n">
        <v>16.363636364</v>
      </c>
      <c r="D213" s="3" t="n">
        <v>0.006988507</v>
      </c>
      <c r="E213" s="4" t="n">
        <v>0.006824545</v>
      </c>
      <c r="F213" s="15" t="n">
        <f aca="false">MIN(ABS(C213-$B$187), ABS(C213-180-$B$187), ABS(C213+180-$B$187))</f>
        <v>39.746363636</v>
      </c>
    </row>
    <row r="214" customFormat="false" ht="14.25" hidden="false" customHeight="false" outlineLevel="0" collapsed="false">
      <c r="C214" s="2" t="n">
        <v>20.454545455</v>
      </c>
      <c r="D214" s="3" t="n">
        <v>0.008687158</v>
      </c>
      <c r="E214" s="4" t="n">
        <v>0.00708325</v>
      </c>
      <c r="F214" s="15" t="n">
        <f aca="false">MIN(ABS(C214-$B$187), ABS(C214-180-$B$187), ABS(C214+180-$B$187))</f>
        <v>35.655454545</v>
      </c>
    </row>
    <row r="215" customFormat="false" ht="14.25" hidden="false" customHeight="false" outlineLevel="0" collapsed="false">
      <c r="C215" s="2" t="n">
        <v>24.545454545</v>
      </c>
      <c r="D215" s="3" t="n">
        <v>0.009167962</v>
      </c>
      <c r="E215" s="4" t="n">
        <v>0.007932625</v>
      </c>
      <c r="F215" s="15" t="n">
        <f aca="false">MIN(ABS(C215-$B$187), ABS(C215-180-$B$187), ABS(C215+180-$B$187))</f>
        <v>31.564545455</v>
      </c>
    </row>
    <row r="216" customFormat="false" ht="14.25" hidden="false" customHeight="false" outlineLevel="0" collapsed="false">
      <c r="C216" s="2" t="n">
        <v>28.636363636</v>
      </c>
      <c r="D216" s="3" t="n">
        <v>0.010693314</v>
      </c>
      <c r="E216" s="4" t="n">
        <v>0.010298044</v>
      </c>
      <c r="F216" s="15" t="n">
        <f aca="false">MIN(ABS(C216-$B$187), ABS(C216-180-$B$187), ABS(C216+180-$B$187))</f>
        <v>27.473636364</v>
      </c>
    </row>
    <row r="217" customFormat="false" ht="14.25" hidden="false" customHeight="false" outlineLevel="0" collapsed="false">
      <c r="C217" s="2" t="n">
        <v>32.727272727</v>
      </c>
      <c r="D217" s="3" t="n">
        <v>0.014860979</v>
      </c>
      <c r="E217" s="4" t="n">
        <v>0.015860981</v>
      </c>
      <c r="F217" s="15" t="n">
        <f aca="false">MIN(ABS(C217-$B$187), ABS(C217-180-$B$187), ABS(C217+180-$B$187))</f>
        <v>23.382727273</v>
      </c>
    </row>
    <row r="218" customFormat="false" ht="14.25" hidden="false" customHeight="false" outlineLevel="0" collapsed="false">
      <c r="C218" s="2" t="n">
        <v>36.818181818</v>
      </c>
      <c r="D218" s="3" t="n">
        <v>0.024575311</v>
      </c>
      <c r="E218" s="4" t="n">
        <v>0.026834134</v>
      </c>
      <c r="F218" s="15" t="n">
        <f aca="false">MIN(ABS(C218-$B$187), ABS(C218-180-$B$187), ABS(C218+180-$B$187))</f>
        <v>19.291818182</v>
      </c>
    </row>
    <row r="219" customFormat="false" ht="14.25" hidden="false" customHeight="false" outlineLevel="0" collapsed="false">
      <c r="C219" s="2" t="n">
        <v>40.909090909</v>
      </c>
      <c r="D219" s="3" t="n">
        <v>0.035055774</v>
      </c>
      <c r="E219" s="4" t="n">
        <v>0.044786535</v>
      </c>
      <c r="F219" s="15" t="n">
        <f aca="false">MIN(ABS(C219-$B$187), ABS(C219-180-$B$187), ABS(C219+180-$B$187))</f>
        <v>15.200909091</v>
      </c>
    </row>
    <row r="220" customFormat="false" ht="14.25" hidden="false" customHeight="false" outlineLevel="0" collapsed="false">
      <c r="C220" s="2" t="n">
        <v>45</v>
      </c>
      <c r="D220" s="3" t="n">
        <v>0.059493794</v>
      </c>
      <c r="E220" s="4" t="n">
        <v>0.068653489</v>
      </c>
      <c r="F220" s="15" t="n">
        <f aca="false">MIN(ABS(C220-$B$187), ABS(C220-180-$B$187), ABS(C220+180-$B$187))</f>
        <v>11.11</v>
      </c>
    </row>
    <row r="221" customFormat="false" ht="14.25" hidden="false" customHeight="false" outlineLevel="0" collapsed="false">
      <c r="C221" s="2" t="n">
        <v>49.090909091</v>
      </c>
      <c r="D221" s="3" t="n">
        <v>0.095633954</v>
      </c>
      <c r="E221" s="4" t="n">
        <v>0.093332832</v>
      </c>
      <c r="F221" s="15" t="n">
        <f aca="false">MIN(ABS(C221-$B$187), ABS(C221-180-$B$187), ABS(C221+180-$B$187))</f>
        <v>7.019090909</v>
      </c>
    </row>
    <row r="222" customFormat="false" ht="14.25" hidden="false" customHeight="false" outlineLevel="0" collapsed="false">
      <c r="C222" s="2" t="n">
        <v>53.181818182</v>
      </c>
      <c r="D222" s="3" t="n">
        <v>0.134743378</v>
      </c>
      <c r="E222" s="4" t="n">
        <v>0.11082925</v>
      </c>
      <c r="F222" s="15" t="n">
        <f aca="false">MIN(ABS(C222-$B$187), ABS(C222-180-$B$187), ABS(C222+180-$B$187))</f>
        <v>2.928181818</v>
      </c>
    </row>
    <row r="223" customFormat="false" ht="14.25" hidden="false" customHeight="false" outlineLevel="0" collapsed="false">
      <c r="C223" s="2" t="n">
        <v>57.272727273</v>
      </c>
      <c r="D223" s="3" t="n">
        <v>0.116493933</v>
      </c>
      <c r="E223" s="4" t="n">
        <v>0.114276864</v>
      </c>
      <c r="F223" s="15" t="n">
        <f aca="false">MIN(ABS(C223-$B$187), ABS(C223-180-$B$187), ABS(C223+180-$B$187))</f>
        <v>1.162727273</v>
      </c>
    </row>
    <row r="224" customFormat="false" ht="14.25" hidden="false" customHeight="false" outlineLevel="0" collapsed="false">
      <c r="C224" s="2" t="n">
        <v>61.363636364</v>
      </c>
      <c r="D224" s="3" t="n">
        <v>0.088079039</v>
      </c>
      <c r="E224" s="4" t="n">
        <v>0.102225285</v>
      </c>
      <c r="F224" s="15" t="n">
        <f aca="false">MIN(ABS(C224-$B$187), ABS(C224-180-$B$187), ABS(C224+180-$B$187))</f>
        <v>5.253636364</v>
      </c>
    </row>
    <row r="225" customFormat="false" ht="14.25" hidden="false" customHeight="false" outlineLevel="0" collapsed="false">
      <c r="C225" s="2" t="n">
        <v>65.454545455</v>
      </c>
      <c r="D225" s="3" t="n">
        <v>0.058978474</v>
      </c>
      <c r="E225" s="4" t="n">
        <v>0.079609026</v>
      </c>
      <c r="F225" s="15" t="n">
        <f aca="false">MIN(ABS(C225-$B$187), ABS(C225-180-$B$187), ABS(C225+180-$B$187))</f>
        <v>9.344545455</v>
      </c>
    </row>
    <row r="226" customFormat="false" ht="14.25" hidden="false" customHeight="false" outlineLevel="0" collapsed="false">
      <c r="C226" s="2" t="n">
        <v>69.545454545</v>
      </c>
      <c r="D226" s="3" t="n">
        <v>0.05714359</v>
      </c>
      <c r="E226" s="4" t="n">
        <v>0.054534332</v>
      </c>
      <c r="F226" s="15" t="n">
        <f aca="false">MIN(ABS(C226-$B$187), ABS(C226-180-$B$187), ABS(C226+180-$B$187))</f>
        <v>13.435454545</v>
      </c>
    </row>
    <row r="227" customFormat="false" ht="14.25" hidden="false" customHeight="false" outlineLevel="0" collapsed="false">
      <c r="C227" s="2" t="n">
        <v>73.636363636</v>
      </c>
      <c r="D227" s="3" t="n">
        <v>0.055313473</v>
      </c>
      <c r="E227" s="4" t="n">
        <v>0.033682344</v>
      </c>
      <c r="F227" s="15" t="n">
        <f aca="false">MIN(ABS(C227-$B$187), ABS(C227-180-$B$187), ABS(C227+180-$B$187))</f>
        <v>17.526363636</v>
      </c>
    </row>
    <row r="228" customFormat="false" ht="14.25" hidden="false" customHeight="false" outlineLevel="0" collapsed="false">
      <c r="C228" s="2" t="n">
        <v>77.727272727</v>
      </c>
      <c r="D228" s="3" t="n">
        <v>0.031874876</v>
      </c>
      <c r="E228" s="4" t="n">
        <v>0.01979317</v>
      </c>
      <c r="F228" s="15" t="n">
        <f aca="false">MIN(ABS(C228-$B$187), ABS(C228-180-$B$187), ABS(C228+180-$B$187))</f>
        <v>21.617272727</v>
      </c>
    </row>
    <row r="229" s="19" customFormat="true" ht="14.25" hidden="false" customHeight="false" outlineLevel="0" collapsed="false">
      <c r="A229" s="1"/>
      <c r="B229" s="1"/>
      <c r="C229" s="2" t="n">
        <v>81.818181818</v>
      </c>
      <c r="D229" s="3" t="n">
        <v>0.019710333</v>
      </c>
      <c r="E229" s="4" t="n">
        <v>0.012175082</v>
      </c>
      <c r="F229" s="15" t="n">
        <f aca="false">MIN(ABS(C229-$B$187), ABS(C229-180-$B$187), ABS(C229+180-$B$187))</f>
        <v>25.708181818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XEZ229" s="0"/>
      <c r="XFA229" s="0"/>
      <c r="XFB229" s="0"/>
      <c r="XFC229" s="0"/>
    </row>
    <row r="230" customFormat="false" ht="14.25" hidden="false" customHeight="false" outlineLevel="0" collapsed="false">
      <c r="C230" s="2" t="n">
        <v>85.909090909</v>
      </c>
      <c r="D230" s="3" t="n">
        <v>0.012405126</v>
      </c>
      <c r="E230" s="4" t="n">
        <v>0.008684748</v>
      </c>
      <c r="F230" s="15" t="n">
        <f aca="false">MIN(ABS(C230-$B$187), ABS(C230-180-$B$187), ABS(C230+180-$B$187))</f>
        <v>29.799090909</v>
      </c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</row>
    <row r="231" customFormat="false" ht="14.25" hidden="false" customHeight="false" outlineLevel="0" collapsed="false">
      <c r="A231" s="19"/>
      <c r="B231" s="19"/>
      <c r="C231" s="20" t="n">
        <v>90</v>
      </c>
      <c r="D231" s="21" t="n">
        <v>0.011009075</v>
      </c>
      <c r="E231" s="22" t="n">
        <v>0.007337754</v>
      </c>
      <c r="F231" s="15" t="n">
        <f aca="false">MIN(ABS(C231-$B$187), ABS(C231-180-$B$187), ABS(C231+180-$B$187))</f>
        <v>33.89</v>
      </c>
      <c r="G231" s="19"/>
      <c r="H231" s="19"/>
    </row>
    <row r="232" customFormat="false" ht="14.25" hidden="false" customHeight="false" outlineLevel="0" collapsed="false">
      <c r="A232" s="14" t="n">
        <v>20241115</v>
      </c>
      <c r="B232" s="14" t="n">
        <v>59.1</v>
      </c>
      <c r="C232" s="2" t="n">
        <v>-90</v>
      </c>
      <c r="D232" s="3" t="n">
        <v>0.015767027</v>
      </c>
      <c r="E232" s="4" t="n">
        <v>0.010491751</v>
      </c>
      <c r="F232" s="15" t="n">
        <f aca="false">MIN(ABS(C232-$B$232), ABS(C232-180-$B$232), ABS(C232+180-$B$232))</f>
        <v>30.9</v>
      </c>
      <c r="G232" s="16" t="n">
        <f aca="false" t="array" ref="G232:G232">SQRT(SUMPRODUCT(D232:D276,F232:F276*F232:F276))</f>
        <v>34.8783621098322</v>
      </c>
      <c r="H232" s="3" t="n">
        <f aca="false" t="array" ref="H232:H232">SUMPRODUCT(D232:D276,ABS(F232:F276))</f>
        <v>25.7953260757947</v>
      </c>
    </row>
    <row r="233" customFormat="false" ht="14.25" hidden="false" customHeight="false" outlineLevel="0" collapsed="false">
      <c r="C233" s="2" t="n">
        <v>-85.909090909</v>
      </c>
      <c r="D233" s="3" t="n">
        <v>0.011967787</v>
      </c>
      <c r="E233" s="4" t="n">
        <v>0.010491751</v>
      </c>
      <c r="F233" s="15" t="n">
        <f aca="false">MIN(ABS(C233-$B$232), ABS(C233-180-$B$232), ABS(C233+180-$B$232))</f>
        <v>34.990909091</v>
      </c>
    </row>
    <row r="234" customFormat="false" ht="14.25" hidden="false" customHeight="false" outlineLevel="0" collapsed="false">
      <c r="C234" s="2" t="n">
        <v>-81.818181818</v>
      </c>
      <c r="D234" s="3" t="n">
        <v>0.012658972</v>
      </c>
      <c r="E234" s="4" t="n">
        <v>0.010491751</v>
      </c>
      <c r="F234" s="15" t="n">
        <f aca="false">MIN(ABS(C234-$B$232), ABS(C234-180-$B$232), ABS(C234+180-$B$232))</f>
        <v>39.081818182</v>
      </c>
      <c r="G234" s="1" t="e">
        <f aca="false">#REF!/G232</f>
        <v>#REF!</v>
      </c>
    </row>
    <row r="235" customFormat="false" ht="14.25" hidden="false" customHeight="false" outlineLevel="0" collapsed="false">
      <c r="C235" s="2" t="n">
        <v>-77.727272727</v>
      </c>
      <c r="D235" s="3" t="n">
        <v>0.011136496</v>
      </c>
      <c r="E235" s="4" t="n">
        <v>0.010491751</v>
      </c>
      <c r="F235" s="15" t="n">
        <f aca="false">MIN(ABS(C235-$B$232), ABS(C235-180-$B$232), ABS(C235+180-$B$232))</f>
        <v>43.172727273</v>
      </c>
    </row>
    <row r="236" customFormat="false" ht="14.25" hidden="false" customHeight="false" outlineLevel="0" collapsed="false">
      <c r="C236" s="2" t="n">
        <v>-73.636363636</v>
      </c>
      <c r="D236" s="3" t="n">
        <v>0.010153489</v>
      </c>
      <c r="E236" s="4" t="n">
        <v>0.010491751</v>
      </c>
      <c r="F236" s="15" t="n">
        <f aca="false">MIN(ABS(C236-$B$232), ABS(C236-180-$B$232), ABS(C236+180-$B$232))</f>
        <v>47.263636364</v>
      </c>
    </row>
    <row r="237" customFormat="false" ht="14.25" hidden="false" customHeight="false" outlineLevel="0" collapsed="false">
      <c r="C237" s="2" t="n">
        <v>-69.545454545</v>
      </c>
      <c r="D237" s="3" t="n">
        <v>0.009964196</v>
      </c>
      <c r="E237" s="4" t="n">
        <v>0.010491751</v>
      </c>
      <c r="F237" s="15" t="n">
        <f aca="false">MIN(ABS(C237-$B$232), ABS(C237-180-$B$232), ABS(C237+180-$B$232))</f>
        <v>51.354545455</v>
      </c>
    </row>
    <row r="238" customFormat="false" ht="14.25" hidden="false" customHeight="false" outlineLevel="0" collapsed="false">
      <c r="C238" s="2" t="n">
        <v>-65.454545455</v>
      </c>
      <c r="D238" s="3" t="n">
        <v>0.009660715</v>
      </c>
      <c r="E238" s="4" t="n">
        <v>0.010491751</v>
      </c>
      <c r="F238" s="15" t="n">
        <f aca="false">MIN(ABS(C238-$B$232), ABS(C238-180-$B$232), ABS(C238+180-$B$232))</f>
        <v>55.445454545</v>
      </c>
    </row>
    <row r="239" customFormat="false" ht="14.25" hidden="false" customHeight="false" outlineLevel="0" collapsed="false">
      <c r="C239" s="2" t="n">
        <v>-61.363636364</v>
      </c>
      <c r="D239" s="3" t="n">
        <v>0.009017892</v>
      </c>
      <c r="E239" s="4" t="n">
        <v>0.010491751</v>
      </c>
      <c r="F239" s="15" t="n">
        <f aca="false">MIN(ABS(C239-$B$232), ABS(C239-180-$B$232), ABS(C239+180-$B$232))</f>
        <v>59.536363636</v>
      </c>
    </row>
    <row r="240" customFormat="false" ht="14.25" hidden="false" customHeight="false" outlineLevel="0" collapsed="false">
      <c r="C240" s="2" t="n">
        <v>-57.272727273</v>
      </c>
      <c r="D240" s="3" t="n">
        <v>0.00839409</v>
      </c>
      <c r="E240" s="4" t="n">
        <v>0.010491751</v>
      </c>
      <c r="F240" s="15" t="n">
        <f aca="false">MIN(ABS(C240-$B$232), ABS(C240-180-$B$232), ABS(C240+180-$B$232))</f>
        <v>63.627272727</v>
      </c>
      <c r="H240" s="1" t="s">
        <v>18</v>
      </c>
    </row>
    <row r="241" customFormat="false" ht="14.25" hidden="false" customHeight="false" outlineLevel="0" collapsed="false">
      <c r="C241" s="2" t="n">
        <v>-53.181818182</v>
      </c>
      <c r="D241" s="3" t="n">
        <v>0.008791</v>
      </c>
      <c r="E241" s="4" t="n">
        <v>0.010491751</v>
      </c>
      <c r="F241" s="15" t="n">
        <f aca="false">MIN(ABS(C241-$B$232), ABS(C241-180-$B$232), ABS(C241+180-$B$232))</f>
        <v>67.718181818</v>
      </c>
    </row>
    <row r="242" customFormat="false" ht="14.25" hidden="false" customHeight="false" outlineLevel="0" collapsed="false">
      <c r="C242" s="2" t="n">
        <v>-49.090909091</v>
      </c>
      <c r="D242" s="3" t="n">
        <v>0.008005118</v>
      </c>
      <c r="E242" s="4" t="n">
        <v>0.010491751</v>
      </c>
      <c r="F242" s="15" t="n">
        <f aca="false">MIN(ABS(C242-$B$232), ABS(C242-180-$B$232), ABS(C242+180-$B$232))</f>
        <v>71.809090909</v>
      </c>
    </row>
    <row r="243" customFormat="false" ht="14.25" hidden="false" customHeight="false" outlineLevel="0" collapsed="false">
      <c r="C243" s="2" t="n">
        <v>-45</v>
      </c>
      <c r="D243" s="3" t="n">
        <v>0.008050968</v>
      </c>
      <c r="E243" s="4" t="n">
        <v>0.010491751</v>
      </c>
      <c r="F243" s="15" t="n">
        <f aca="false">MIN(ABS(C243-$B$232), ABS(C243-180-$B$232), ABS(C243+180-$B$232))</f>
        <v>75.9</v>
      </c>
    </row>
    <row r="244" customFormat="false" ht="14.25" hidden="false" customHeight="false" outlineLevel="0" collapsed="false">
      <c r="C244" s="2" t="n">
        <v>-40.909090909</v>
      </c>
      <c r="D244" s="3" t="n">
        <v>0.007682964</v>
      </c>
      <c r="E244" s="4" t="n">
        <v>0.010491751</v>
      </c>
      <c r="F244" s="15" t="n">
        <f aca="false">MIN(ABS(C244-$B$232), ABS(C244-180-$B$232), ABS(C244+180-$B$232))</f>
        <v>79.990909091</v>
      </c>
    </row>
    <row r="245" customFormat="false" ht="14.25" hidden="false" customHeight="false" outlineLevel="0" collapsed="false">
      <c r="C245" s="2" t="n">
        <v>-36.818181818</v>
      </c>
      <c r="D245" s="3" t="n">
        <v>0.008074607</v>
      </c>
      <c r="E245" s="4" t="n">
        <v>0.010491751</v>
      </c>
      <c r="F245" s="15" t="n">
        <f aca="false">MIN(ABS(C245-$B$232), ABS(C245-180-$B$232), ABS(C245+180-$B$232))</f>
        <v>84.081818182</v>
      </c>
    </row>
    <row r="246" customFormat="false" ht="14.25" hidden="false" customHeight="false" outlineLevel="0" collapsed="false">
      <c r="C246" s="2" t="n">
        <v>-32.727272727</v>
      </c>
      <c r="D246" s="3" t="n">
        <v>0.0077627</v>
      </c>
      <c r="E246" s="4" t="n">
        <v>0.010491751</v>
      </c>
      <c r="F246" s="15" t="n">
        <f aca="false">MIN(ABS(C246-$B$232), ABS(C246-180-$B$232), ABS(C246+180-$B$232))</f>
        <v>88.172727273</v>
      </c>
    </row>
    <row r="247" customFormat="false" ht="14.25" hidden="false" customHeight="false" outlineLevel="0" collapsed="false">
      <c r="C247" s="2" t="n">
        <v>-28.636363636</v>
      </c>
      <c r="D247" s="3" t="n">
        <v>0.007878226</v>
      </c>
      <c r="E247" s="4" t="n">
        <v>0.010491752</v>
      </c>
      <c r="F247" s="15" t="n">
        <f aca="false">MIN(ABS(C247-$B$232), ABS(C247-180-$B$232), ABS(C247+180-$B$232))</f>
        <v>87.736363636</v>
      </c>
    </row>
    <row r="248" customFormat="false" ht="14.25" hidden="false" customHeight="false" outlineLevel="0" collapsed="false">
      <c r="C248" s="2" t="n">
        <v>-24.545454545</v>
      </c>
      <c r="D248" s="3" t="n">
        <v>0.008177747</v>
      </c>
      <c r="E248" s="4" t="n">
        <v>0.010491755</v>
      </c>
      <c r="F248" s="15" t="n">
        <f aca="false">MIN(ABS(C248-$B$232), ABS(C248-180-$B$232), ABS(C248+180-$B$232))</f>
        <v>83.645454545</v>
      </c>
    </row>
    <row r="249" customFormat="false" ht="14.25" hidden="false" customHeight="false" outlineLevel="0" collapsed="false">
      <c r="C249" s="2" t="n">
        <v>-20.454545455</v>
      </c>
      <c r="D249" s="3" t="n">
        <v>0.008263357</v>
      </c>
      <c r="E249" s="4" t="n">
        <v>0.01049177</v>
      </c>
      <c r="F249" s="15" t="n">
        <f aca="false">MIN(ABS(C249-$B$232), ABS(C249-180-$B$232), ABS(C249+180-$B$232))</f>
        <v>79.554545455</v>
      </c>
    </row>
    <row r="250" customFormat="false" ht="14.25" hidden="false" customHeight="false" outlineLevel="0" collapsed="false">
      <c r="C250" s="2" t="n">
        <v>-16.363636364</v>
      </c>
      <c r="D250" s="3" t="n">
        <v>0.008565842</v>
      </c>
      <c r="E250" s="4" t="n">
        <v>0.010491838</v>
      </c>
      <c r="F250" s="15" t="n">
        <f aca="false">MIN(ABS(C250-$B$232), ABS(C250-180-$B$232), ABS(C250+180-$B$232))</f>
        <v>75.463636364</v>
      </c>
    </row>
    <row r="251" customFormat="false" ht="14.25" hidden="false" customHeight="false" outlineLevel="0" collapsed="false">
      <c r="C251" s="2" t="n">
        <v>-12.272727273</v>
      </c>
      <c r="D251" s="3" t="n">
        <v>0.008608001</v>
      </c>
      <c r="E251" s="4" t="n">
        <v>0.010492108</v>
      </c>
      <c r="F251" s="15" t="n">
        <f aca="false">MIN(ABS(C251-$B$232), ABS(C251-180-$B$232), ABS(C251+180-$B$232))</f>
        <v>71.372727273</v>
      </c>
    </row>
    <row r="252" customFormat="false" ht="14.25" hidden="false" customHeight="false" outlineLevel="0" collapsed="false">
      <c r="C252" s="2" t="n">
        <v>-8.181818182</v>
      </c>
      <c r="D252" s="3" t="n">
        <v>0.009210989</v>
      </c>
      <c r="E252" s="4" t="n">
        <v>0.010493115</v>
      </c>
      <c r="F252" s="15" t="n">
        <f aca="false">MIN(ABS(C252-$B$232), ABS(C252-180-$B$232), ABS(C252+180-$B$232))</f>
        <v>67.281818182</v>
      </c>
    </row>
    <row r="253" customFormat="false" ht="14.25" hidden="false" customHeight="false" outlineLevel="0" collapsed="false">
      <c r="C253" s="2" t="n">
        <v>-4.090909091</v>
      </c>
      <c r="D253" s="3" t="n">
        <v>0.008666718</v>
      </c>
      <c r="E253" s="4" t="n">
        <v>0.010496563</v>
      </c>
      <c r="F253" s="15" t="n">
        <f aca="false">MIN(ABS(C253-$B$232), ABS(C253-180-$B$232), ABS(C253+180-$B$232))</f>
        <v>63.190909091</v>
      </c>
    </row>
    <row r="254" customFormat="false" ht="14.25" hidden="false" customHeight="false" outlineLevel="0" collapsed="false">
      <c r="C254" s="2" t="n">
        <v>0</v>
      </c>
      <c r="D254" s="3" t="n">
        <v>0.009615626</v>
      </c>
      <c r="E254" s="4" t="n">
        <v>0.010507434</v>
      </c>
      <c r="F254" s="15" t="n">
        <f aca="false">MIN(ABS(C254-$B$232), ABS(C254-180-$B$232), ABS(C254+180-$B$232))</f>
        <v>59.1</v>
      </c>
    </row>
    <row r="255" customFormat="false" ht="14.25" hidden="false" customHeight="false" outlineLevel="0" collapsed="false">
      <c r="C255" s="2" t="n">
        <v>4.090909091</v>
      </c>
      <c r="D255" s="3" t="n">
        <v>0.00958195</v>
      </c>
      <c r="E255" s="4" t="n">
        <v>0.010538976</v>
      </c>
      <c r="F255" s="15" t="n">
        <f aca="false">MIN(ABS(C255-$B$232), ABS(C255-180-$B$232), ABS(C255+180-$B$232))</f>
        <v>55.009090909</v>
      </c>
    </row>
    <row r="256" customFormat="false" ht="14.25" hidden="false" customHeight="false" outlineLevel="0" collapsed="false">
      <c r="C256" s="2" t="n">
        <v>8.181818182</v>
      </c>
      <c r="D256" s="3" t="n">
        <v>0.01200129</v>
      </c>
      <c r="E256" s="4" t="n">
        <v>0.010623151</v>
      </c>
      <c r="F256" s="15" t="n">
        <f aca="false">MIN(ABS(C256-$B$232), ABS(C256-180-$B$232), ABS(C256+180-$B$232))</f>
        <v>50.918181818</v>
      </c>
    </row>
    <row r="257" customFormat="false" ht="14.25" hidden="false" customHeight="false" outlineLevel="0" collapsed="false">
      <c r="C257" s="2" t="n">
        <v>12.272727273</v>
      </c>
      <c r="D257" s="3" t="n">
        <v>0.013601237</v>
      </c>
      <c r="E257" s="4" t="n">
        <v>0.010829574</v>
      </c>
      <c r="F257" s="15" t="n">
        <f aca="false">MIN(ABS(C257-$B$232), ABS(C257-180-$B$232), ABS(C257+180-$B$232))</f>
        <v>46.827272727</v>
      </c>
    </row>
    <row r="258" customFormat="false" ht="14.25" hidden="false" customHeight="false" outlineLevel="0" collapsed="false">
      <c r="C258" s="2" t="n">
        <v>16.363636364</v>
      </c>
      <c r="D258" s="3" t="n">
        <v>0.016762404</v>
      </c>
      <c r="E258" s="4" t="n">
        <v>0.011294265</v>
      </c>
      <c r="F258" s="15" t="n">
        <f aca="false">MIN(ABS(C258-$B$232), ABS(C258-180-$B$232), ABS(C258+180-$B$232))</f>
        <v>42.736363636</v>
      </c>
    </row>
    <row r="259" customFormat="false" ht="14.25" hidden="false" customHeight="false" outlineLevel="0" collapsed="false">
      <c r="C259" s="2" t="n">
        <v>20.454545455</v>
      </c>
      <c r="D259" s="3" t="n">
        <v>0.019166326</v>
      </c>
      <c r="E259" s="4" t="n">
        <v>0.012253274</v>
      </c>
      <c r="F259" s="15" t="n">
        <f aca="false">MIN(ABS(C259-$B$232), ABS(C259-180-$B$232), ABS(C259+180-$B$232))</f>
        <v>38.645454545</v>
      </c>
    </row>
    <row r="260" customFormat="false" ht="14.25" hidden="false" customHeight="false" outlineLevel="0" collapsed="false">
      <c r="C260" s="2" t="n">
        <v>24.545454545</v>
      </c>
      <c r="D260" s="3" t="n">
        <v>0.021770607</v>
      </c>
      <c r="E260" s="4" t="n">
        <v>0.014064435</v>
      </c>
      <c r="F260" s="15" t="n">
        <f aca="false">MIN(ABS(C260-$B$232), ABS(C260-180-$B$232), ABS(C260+180-$B$232))</f>
        <v>34.554545455</v>
      </c>
    </row>
    <row r="261" customFormat="false" ht="14.25" hidden="false" customHeight="false" outlineLevel="0" collapsed="false">
      <c r="C261" s="2" t="n">
        <v>28.636363636</v>
      </c>
      <c r="D261" s="3" t="n">
        <v>0.0248214</v>
      </c>
      <c r="E261" s="4" t="n">
        <v>0.017187084</v>
      </c>
      <c r="F261" s="15" t="n">
        <f aca="false">MIN(ABS(C261-$B$232), ABS(C261-180-$B$232), ABS(C261+180-$B$232))</f>
        <v>30.463636364</v>
      </c>
    </row>
    <row r="262" customFormat="false" ht="14.25" hidden="false" customHeight="false" outlineLevel="0" collapsed="false">
      <c r="C262" s="2" t="n">
        <v>32.727272727</v>
      </c>
      <c r="D262" s="3" t="n">
        <v>0.031991565</v>
      </c>
      <c r="E262" s="4" t="n">
        <v>0.022085419</v>
      </c>
      <c r="F262" s="15" t="n">
        <f aca="false">MIN(ABS(C262-$B$232), ABS(C262-180-$B$232), ABS(C262+180-$B$232))</f>
        <v>26.372727273</v>
      </c>
    </row>
    <row r="263" customFormat="false" ht="14.25" hidden="false" customHeight="false" outlineLevel="0" collapsed="false">
      <c r="C263" s="2" t="n">
        <v>36.818181818</v>
      </c>
      <c r="D263" s="3" t="n">
        <v>0.037092734</v>
      </c>
      <c r="E263" s="4" t="n">
        <v>0.029041608</v>
      </c>
      <c r="F263" s="15" t="n">
        <f aca="false">MIN(ABS(C263-$B$232), ABS(C263-180-$B$232), ABS(C263+180-$B$232))</f>
        <v>22.281818182</v>
      </c>
    </row>
    <row r="264" customFormat="false" ht="14.25" hidden="false" customHeight="false" outlineLevel="0" collapsed="false">
      <c r="C264" s="2" t="n">
        <v>40.909090909</v>
      </c>
      <c r="D264" s="3" t="n">
        <v>0.028252758</v>
      </c>
      <c r="E264" s="4" t="n">
        <v>0.037915789</v>
      </c>
      <c r="F264" s="15" t="n">
        <f aca="false">MIN(ABS(C264-$B$232), ABS(C264-180-$B$232), ABS(C264+180-$B$232))</f>
        <v>18.190909091</v>
      </c>
    </row>
    <row r="265" customFormat="false" ht="14.25" hidden="false" customHeight="false" outlineLevel="0" collapsed="false">
      <c r="C265" s="2" t="n">
        <v>45</v>
      </c>
      <c r="D265" s="3" t="n">
        <v>0.034505888</v>
      </c>
      <c r="E265" s="4" t="n">
        <v>0.047953956</v>
      </c>
      <c r="F265" s="15" t="n">
        <f aca="false">MIN(ABS(C265-$B$232), ABS(C265-180-$B$232), ABS(C265+180-$B$232))</f>
        <v>14.1</v>
      </c>
    </row>
    <row r="266" customFormat="false" ht="14.25" hidden="false" customHeight="false" outlineLevel="0" collapsed="false">
      <c r="C266" s="2" t="n">
        <v>49.090909091</v>
      </c>
      <c r="D266" s="3" t="n">
        <v>0.044523546</v>
      </c>
      <c r="E266" s="4" t="n">
        <v>0.057777073</v>
      </c>
      <c r="F266" s="15" t="n">
        <f aca="false">MIN(ABS(C266-$B$232), ABS(C266-180-$B$232), ABS(C266+180-$B$232))</f>
        <v>10.009090909</v>
      </c>
    </row>
    <row r="267" customFormat="false" ht="14.25" hidden="false" customHeight="false" outlineLevel="0" collapsed="false">
      <c r="C267" s="2" t="n">
        <v>53.181818182</v>
      </c>
      <c r="D267" s="3" t="n">
        <v>0.079959011</v>
      </c>
      <c r="E267" s="4" t="n">
        <v>0.06563984</v>
      </c>
      <c r="F267" s="15" t="n">
        <f aca="false">MIN(ABS(C267-$B$232), ABS(C267-180-$B$232), ABS(C267+180-$B$232))</f>
        <v>5.918181818</v>
      </c>
    </row>
    <row r="268" customFormat="false" ht="14.25" hidden="false" customHeight="false" outlineLevel="0" collapsed="false">
      <c r="C268" s="2" t="n">
        <v>57.272727273</v>
      </c>
      <c r="D268" s="3" t="n">
        <v>0.080382199</v>
      </c>
      <c r="E268" s="4" t="n">
        <v>0.069921744</v>
      </c>
      <c r="F268" s="15" t="n">
        <f aca="false">MIN(ABS(C268-$B$232), ABS(C268-180-$B$232), ABS(C268+180-$B$232))</f>
        <v>1.827272727</v>
      </c>
    </row>
    <row r="269" customFormat="false" ht="14.25" hidden="false" customHeight="false" outlineLevel="0" collapsed="false">
      <c r="C269" s="2" t="n">
        <v>61.363636364</v>
      </c>
      <c r="D269" s="3" t="n">
        <v>0.071628505</v>
      </c>
      <c r="E269" s="4" t="n">
        <v>0.06966862</v>
      </c>
      <c r="F269" s="15" t="n">
        <f aca="false">MIN(ABS(C269-$B$232), ABS(C269-180-$B$232), ABS(C269+180-$B$232))</f>
        <v>2.263636364</v>
      </c>
    </row>
    <row r="270" customFormat="false" ht="14.25" hidden="false" customHeight="false" outlineLevel="0" collapsed="false">
      <c r="C270" s="2" t="n">
        <v>65.454545455</v>
      </c>
      <c r="D270" s="3" t="n">
        <v>0.054505443</v>
      </c>
      <c r="E270" s="4" t="n">
        <v>0.064938178</v>
      </c>
      <c r="F270" s="15" t="n">
        <f aca="false">MIN(ABS(C270-$B$232), ABS(C270-180-$B$232), ABS(C270+180-$B$232))</f>
        <v>6.354545455</v>
      </c>
    </row>
    <row r="271" customFormat="false" ht="14.25" hidden="false" customHeight="false" outlineLevel="0" collapsed="false">
      <c r="C271" s="2" t="n">
        <v>69.545454545</v>
      </c>
      <c r="D271" s="3" t="n">
        <v>0.052883348</v>
      </c>
      <c r="E271" s="4" t="n">
        <v>0.056778628</v>
      </c>
      <c r="F271" s="15" t="n">
        <f aca="false">MIN(ABS(C271-$B$232), ABS(C271-180-$B$232), ABS(C271+180-$B$232))</f>
        <v>10.445454545</v>
      </c>
    </row>
    <row r="272" customFormat="false" ht="14.25" hidden="false" customHeight="false" outlineLevel="0" collapsed="false">
      <c r="C272" s="2" t="n">
        <v>73.636363636</v>
      </c>
      <c r="D272" s="3" t="n">
        <v>0.056185144</v>
      </c>
      <c r="E272" s="4" t="n">
        <v>0.046851215</v>
      </c>
      <c r="F272" s="15" t="n">
        <f aca="false">MIN(ABS(C272-$B$232), ABS(C272-180-$B$232), ABS(C272+180-$B$232))</f>
        <v>14.536363636</v>
      </c>
    </row>
    <row r="273" customFormat="false" ht="14.25" hidden="false" customHeight="false" outlineLevel="0" collapsed="false">
      <c r="C273" s="2" t="n">
        <v>77.727272727</v>
      </c>
      <c r="D273" s="3" t="n">
        <v>0.039756775</v>
      </c>
      <c r="E273" s="4" t="n">
        <v>0.036882284</v>
      </c>
      <c r="F273" s="15" t="n">
        <f aca="false">MIN(ABS(C273-$B$232), ABS(C273-180-$B$232), ABS(C273+180-$B$232))</f>
        <v>18.627272727</v>
      </c>
    </row>
    <row r="274" s="19" customFormat="true" ht="14.25" hidden="false" customHeight="false" outlineLevel="0" collapsed="false">
      <c r="A274" s="1"/>
      <c r="B274" s="1"/>
      <c r="C274" s="2" t="n">
        <v>81.818181818</v>
      </c>
      <c r="D274" s="3" t="n">
        <v>0.023180248</v>
      </c>
      <c r="E274" s="4" t="n">
        <v>0.0281908</v>
      </c>
      <c r="F274" s="15" t="n">
        <f aca="false">MIN(ABS(C274-$B$232), ABS(C274-180-$B$232), ABS(C274+180-$B$232))</f>
        <v>22.718181818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XEZ274" s="0"/>
      <c r="XFA274" s="0"/>
      <c r="XFB274" s="0"/>
      <c r="XFC274" s="0"/>
    </row>
    <row r="275" customFormat="false" ht="14.25" hidden="false" customHeight="false" outlineLevel="0" collapsed="false">
      <c r="C275" s="2" t="n">
        <v>85.909090909</v>
      </c>
      <c r="D275" s="3" t="n">
        <v>0.01560607</v>
      </c>
      <c r="E275" s="4" t="n">
        <v>0.021459634</v>
      </c>
      <c r="F275" s="15" t="n">
        <f aca="false">MIN(ABS(C275-$B$232), ABS(C275-180-$B$232), ABS(C275+180-$B$232))</f>
        <v>26.809090909</v>
      </c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</row>
    <row r="276" customFormat="false" ht="14.25" hidden="false" customHeight="false" outlineLevel="0" collapsed="false">
      <c r="A276" s="19"/>
      <c r="B276" s="19"/>
      <c r="C276" s="20" t="n">
        <v>90</v>
      </c>
      <c r="D276" s="21" t="n">
        <v>0.015767027</v>
      </c>
      <c r="E276" s="22" t="n">
        <v>0.016771854</v>
      </c>
      <c r="F276" s="15" t="n">
        <f aca="false">MIN(ABS(C276-$B$232), ABS(C276-180-$B$232), ABS(C276+180-$B$232))</f>
        <v>30.9</v>
      </c>
      <c r="G276" s="19"/>
      <c r="H276" s="19"/>
    </row>
    <row r="277" customFormat="false" ht="14.25" hidden="false" customHeight="false" outlineLevel="0" collapsed="false">
      <c r="A277" s="14" t="n">
        <v>20241115</v>
      </c>
      <c r="B277" s="14" t="n">
        <v>63.95</v>
      </c>
      <c r="C277" s="2" t="n">
        <v>-90</v>
      </c>
      <c r="D277" s="3" t="n">
        <v>0.019638863</v>
      </c>
      <c r="E277" s="4" t="n">
        <v>0.009861695</v>
      </c>
      <c r="F277" s="15" t="n">
        <f aca="false">MIN(ABS(C277-$B$277), ABS(C277-180-$B$277), ABS(C277+180-$B$277))</f>
        <v>26.05</v>
      </c>
      <c r="G277" s="16" t="n">
        <f aca="false" t="array" ref="G277:G277">SQRT(SUMPRODUCT(D277:D321,F277:F321*F277:F321))</f>
        <v>34.35044967224</v>
      </c>
      <c r="H277" s="3" t="n">
        <f aca="false" t="array" ref="H277:H277">SUMPRODUCT(D277:D321,ABS(F277:F321))</f>
        <v>25.4716601445661</v>
      </c>
    </row>
    <row r="278" customFormat="false" ht="14.25" hidden="false" customHeight="false" outlineLevel="0" collapsed="false">
      <c r="C278" s="2" t="n">
        <v>-85.909090909</v>
      </c>
      <c r="D278" s="3" t="n">
        <v>0.013641812</v>
      </c>
      <c r="E278" s="4" t="n">
        <v>0.009861695</v>
      </c>
      <c r="F278" s="15" t="n">
        <f aca="false">MIN(ABS(C278-$B$277), ABS(C278-180-$B$277), ABS(C278+180-$B$277))</f>
        <v>30.140909091</v>
      </c>
    </row>
    <row r="279" customFormat="false" ht="14.25" hidden="false" customHeight="false" outlineLevel="0" collapsed="false">
      <c r="C279" s="2" t="n">
        <v>-81.818181818</v>
      </c>
      <c r="D279" s="3" t="n">
        <v>0.013885535</v>
      </c>
      <c r="E279" s="4" t="n">
        <v>0.009861695</v>
      </c>
      <c r="F279" s="15" t="n">
        <f aca="false">MIN(ABS(C279-$B$277), ABS(C279-180-$B$277), ABS(C279+180-$B$277))</f>
        <v>34.231818182</v>
      </c>
    </row>
    <row r="280" customFormat="false" ht="14.25" hidden="false" customHeight="false" outlineLevel="0" collapsed="false">
      <c r="C280" s="2" t="n">
        <v>-77.727272727</v>
      </c>
      <c r="D280" s="3" t="n">
        <v>0.014076915</v>
      </c>
      <c r="E280" s="4" t="n">
        <v>0.009861695</v>
      </c>
      <c r="F280" s="15" t="n">
        <f aca="false">MIN(ABS(C280-$B$277), ABS(C280-180-$B$277), ABS(C280+180-$B$277))</f>
        <v>38.322727273</v>
      </c>
      <c r="G280" s="1" t="e">
        <f aca="false">#REF!/G277</f>
        <v>#REF!</v>
      </c>
    </row>
    <row r="281" customFormat="false" ht="14.25" hidden="false" customHeight="false" outlineLevel="0" collapsed="false">
      <c r="C281" s="2" t="n">
        <v>-73.636363636</v>
      </c>
      <c r="D281" s="3" t="n">
        <v>0.012575486</v>
      </c>
      <c r="E281" s="4" t="n">
        <v>0.009861695</v>
      </c>
      <c r="F281" s="15" t="n">
        <f aca="false">MIN(ABS(C281-$B$277), ABS(C281-180-$B$277), ABS(C281+180-$B$277))</f>
        <v>42.413636364</v>
      </c>
    </row>
    <row r="282" customFormat="false" ht="14.25" hidden="false" customHeight="false" outlineLevel="0" collapsed="false">
      <c r="C282" s="2" t="n">
        <v>-69.545454545</v>
      </c>
      <c r="D282" s="3" t="n">
        <v>0.010867502</v>
      </c>
      <c r="E282" s="4" t="n">
        <v>0.009861695</v>
      </c>
      <c r="F282" s="15" t="n">
        <f aca="false">MIN(ABS(C282-$B$277), ABS(C282-180-$B$277), ABS(C282+180-$B$277))</f>
        <v>46.504545455</v>
      </c>
    </row>
    <row r="283" customFormat="false" ht="14.25" hidden="false" customHeight="false" outlineLevel="0" collapsed="false">
      <c r="C283" s="2" t="n">
        <v>-65.454545455</v>
      </c>
      <c r="D283" s="3" t="n">
        <v>0.009809502</v>
      </c>
      <c r="E283" s="4" t="n">
        <v>0.009861695</v>
      </c>
      <c r="F283" s="15" t="n">
        <f aca="false">MIN(ABS(C283-$B$277), ABS(C283-180-$B$277), ABS(C283+180-$B$277))</f>
        <v>50.595454545</v>
      </c>
    </row>
    <row r="284" customFormat="false" ht="14.25" hidden="false" customHeight="false" outlineLevel="0" collapsed="false">
      <c r="C284" s="2" t="n">
        <v>-61.363636364</v>
      </c>
      <c r="D284" s="3" t="n">
        <v>0.009375701</v>
      </c>
      <c r="E284" s="4" t="n">
        <v>0.009861695</v>
      </c>
      <c r="F284" s="15" t="n">
        <f aca="false">MIN(ABS(C284-$B$277), ABS(C284-180-$B$277), ABS(C284+180-$B$277))</f>
        <v>54.686363636</v>
      </c>
    </row>
    <row r="285" customFormat="false" ht="14.25" hidden="false" customHeight="false" outlineLevel="0" collapsed="false">
      <c r="C285" s="2" t="n">
        <v>-57.272727273</v>
      </c>
      <c r="D285" s="3" t="n">
        <v>0.008635286</v>
      </c>
      <c r="E285" s="4" t="n">
        <v>0.009861695</v>
      </c>
      <c r="F285" s="15" t="n">
        <f aca="false">MIN(ABS(C285-$B$277), ABS(C285-180-$B$277), ABS(C285+180-$B$277))</f>
        <v>58.777272727</v>
      </c>
    </row>
    <row r="286" customFormat="false" ht="14.25" hidden="false" customHeight="false" outlineLevel="0" collapsed="false">
      <c r="C286" s="2" t="n">
        <v>-53.181818182</v>
      </c>
      <c r="D286" s="3" t="n">
        <v>0.008372987</v>
      </c>
      <c r="E286" s="4" t="n">
        <v>0.009861695</v>
      </c>
      <c r="F286" s="15" t="n">
        <f aca="false">MIN(ABS(C286-$B$277), ABS(C286-180-$B$277), ABS(C286+180-$B$277))</f>
        <v>62.868181818</v>
      </c>
    </row>
    <row r="287" customFormat="false" ht="14.25" hidden="false" customHeight="false" outlineLevel="0" collapsed="false">
      <c r="C287" s="2" t="n">
        <v>-49.090909091</v>
      </c>
      <c r="D287" s="3" t="n">
        <v>0.008146299</v>
      </c>
      <c r="E287" s="4" t="n">
        <v>0.009861695</v>
      </c>
      <c r="F287" s="15" t="n">
        <f aca="false">MIN(ABS(C287-$B$277), ABS(C287-180-$B$277), ABS(C287+180-$B$277))</f>
        <v>66.959090909</v>
      </c>
    </row>
    <row r="288" customFormat="false" ht="14.25" hidden="false" customHeight="false" outlineLevel="0" collapsed="false">
      <c r="C288" s="2" t="n">
        <v>-45</v>
      </c>
      <c r="D288" s="3" t="n">
        <v>0.009037978</v>
      </c>
      <c r="E288" s="4" t="n">
        <v>0.009861695</v>
      </c>
      <c r="F288" s="15" t="n">
        <f aca="false">MIN(ABS(C288-$B$277), ABS(C288-180-$B$277), ABS(C288+180-$B$277))</f>
        <v>71.05</v>
      </c>
    </row>
    <row r="289" customFormat="false" ht="14.25" hidden="false" customHeight="false" outlineLevel="0" collapsed="false">
      <c r="C289" s="2" t="n">
        <v>-40.909090909</v>
      </c>
      <c r="D289" s="3" t="n">
        <v>0.008901679</v>
      </c>
      <c r="E289" s="4" t="n">
        <v>0.009861695</v>
      </c>
      <c r="F289" s="15" t="n">
        <f aca="false">MIN(ABS(C289-$B$277), ABS(C289-180-$B$277), ABS(C289+180-$B$277))</f>
        <v>75.140909091</v>
      </c>
    </row>
    <row r="290" customFormat="false" ht="14.25" hidden="false" customHeight="false" outlineLevel="0" collapsed="false">
      <c r="C290" s="2" t="n">
        <v>-36.818181818</v>
      </c>
      <c r="D290" s="3" t="n">
        <v>0.009121381</v>
      </c>
      <c r="E290" s="4" t="n">
        <v>0.009861695</v>
      </c>
      <c r="F290" s="15" t="n">
        <f aca="false">MIN(ABS(C290-$B$277), ABS(C290-180-$B$277), ABS(C290+180-$B$277))</f>
        <v>79.231818182</v>
      </c>
    </row>
    <row r="291" customFormat="false" ht="14.25" hidden="false" customHeight="false" outlineLevel="0" collapsed="false">
      <c r="C291" s="2" t="n">
        <v>-32.727272727</v>
      </c>
      <c r="D291" s="3" t="n">
        <v>0.008483263</v>
      </c>
      <c r="E291" s="4" t="n">
        <v>0.009861697</v>
      </c>
      <c r="F291" s="15" t="n">
        <f aca="false">MIN(ABS(C291-$B$277), ABS(C291-180-$B$277), ABS(C291+180-$B$277))</f>
        <v>83.322727273</v>
      </c>
    </row>
    <row r="292" customFormat="false" ht="14.25" hidden="false" customHeight="false" outlineLevel="0" collapsed="false">
      <c r="C292" s="2" t="n">
        <v>-28.636363636</v>
      </c>
      <c r="D292" s="3" t="n">
        <v>0.007615216</v>
      </c>
      <c r="E292" s="4" t="n">
        <v>0.009861702</v>
      </c>
      <c r="F292" s="15" t="n">
        <f aca="false">MIN(ABS(C292-$B$277), ABS(C292-180-$B$277), ABS(C292+180-$B$277))</f>
        <v>87.413636364</v>
      </c>
    </row>
    <row r="293" customFormat="false" ht="14.25" hidden="false" customHeight="false" outlineLevel="0" collapsed="false">
      <c r="C293" s="2" t="n">
        <v>-24.545454545</v>
      </c>
      <c r="D293" s="3" t="n">
        <v>0.007143972</v>
      </c>
      <c r="E293" s="4" t="n">
        <v>0.009861724</v>
      </c>
      <c r="F293" s="15" t="n">
        <f aca="false">MIN(ABS(C293-$B$277), ABS(C293-180-$B$277), ABS(C293+180-$B$277))</f>
        <v>88.495454545</v>
      </c>
    </row>
    <row r="294" customFormat="false" ht="14.25" hidden="false" customHeight="false" outlineLevel="0" collapsed="false">
      <c r="C294" s="2" t="n">
        <v>-20.454545455</v>
      </c>
      <c r="D294" s="3" t="n">
        <v>0.00712561</v>
      </c>
      <c r="E294" s="4" t="n">
        <v>0.009861802</v>
      </c>
      <c r="F294" s="15" t="n">
        <f aca="false">MIN(ABS(C294-$B$277), ABS(C294-180-$B$277), ABS(C294+180-$B$277))</f>
        <v>84.404545455</v>
      </c>
    </row>
    <row r="295" customFormat="false" ht="14.25" hidden="false" customHeight="false" outlineLevel="0" collapsed="false">
      <c r="C295" s="2" t="n">
        <v>-16.363636364</v>
      </c>
      <c r="D295" s="3" t="n">
        <v>0.007919855</v>
      </c>
      <c r="E295" s="4" t="n">
        <v>0.009862068</v>
      </c>
      <c r="F295" s="15" t="n">
        <f aca="false">MIN(ABS(C295-$B$277), ABS(C295-180-$B$277), ABS(C295+180-$B$277))</f>
        <v>80.313636364</v>
      </c>
    </row>
    <row r="296" customFormat="false" ht="14.25" hidden="false" customHeight="false" outlineLevel="0" collapsed="false">
      <c r="C296" s="2" t="n">
        <v>-12.272727273</v>
      </c>
      <c r="D296" s="3" t="n">
        <v>0.007088273</v>
      </c>
      <c r="E296" s="4" t="n">
        <v>0.009862918</v>
      </c>
      <c r="F296" s="15" t="n">
        <f aca="false">MIN(ABS(C296-$B$277), ABS(C296-180-$B$277), ABS(C296+180-$B$277))</f>
        <v>76.222727273</v>
      </c>
    </row>
    <row r="297" customFormat="false" ht="14.25" hidden="false" customHeight="false" outlineLevel="0" collapsed="false">
      <c r="C297" s="2" t="n">
        <v>-8.181818182</v>
      </c>
      <c r="D297" s="3" t="n">
        <v>0.008136384</v>
      </c>
      <c r="E297" s="4" t="n">
        <v>0.00986546</v>
      </c>
      <c r="F297" s="15" t="n">
        <f aca="false">MIN(ABS(C297-$B$277), ABS(C297-180-$B$277), ABS(C297+180-$B$277))</f>
        <v>72.131818182</v>
      </c>
    </row>
    <row r="298" customFormat="false" ht="14.25" hidden="false" customHeight="false" outlineLevel="0" collapsed="false">
      <c r="C298" s="2" t="n">
        <v>-4.090909091</v>
      </c>
      <c r="D298" s="3" t="n">
        <v>0.007665979</v>
      </c>
      <c r="E298" s="4" t="n">
        <v>0.009872587</v>
      </c>
      <c r="F298" s="15" t="n">
        <f aca="false">MIN(ABS(C298-$B$277), ABS(C298-180-$B$277), ABS(C298+180-$B$277))</f>
        <v>68.040909091</v>
      </c>
    </row>
    <row r="299" customFormat="false" ht="14.25" hidden="false" customHeight="false" outlineLevel="0" collapsed="false">
      <c r="C299" s="2" t="n">
        <v>0</v>
      </c>
      <c r="D299" s="3" t="n">
        <v>0.010231539</v>
      </c>
      <c r="E299" s="4" t="n">
        <v>0.009891307</v>
      </c>
      <c r="F299" s="15" t="n">
        <f aca="false">MIN(ABS(C299-$B$277), ABS(C299-180-$B$277), ABS(C299+180-$B$277))</f>
        <v>63.95</v>
      </c>
    </row>
    <row r="300" customFormat="false" ht="14.25" hidden="false" customHeight="false" outlineLevel="0" collapsed="false">
      <c r="C300" s="2" t="n">
        <v>4.090909091</v>
      </c>
      <c r="D300" s="3" t="n">
        <v>0.008708068</v>
      </c>
      <c r="E300" s="4" t="n">
        <v>0.009937364</v>
      </c>
      <c r="F300" s="15" t="n">
        <f aca="false">MIN(ABS(C300-$B$277), ABS(C300-180-$B$277), ABS(C300+180-$B$277))</f>
        <v>59.859090909</v>
      </c>
    </row>
    <row r="301" customFormat="false" ht="14.25" hidden="false" customHeight="false" outlineLevel="0" collapsed="false">
      <c r="C301" s="2" t="n">
        <v>8.181818182</v>
      </c>
      <c r="D301" s="3" t="n">
        <v>0.009246451</v>
      </c>
      <c r="E301" s="4" t="n">
        <v>0.010043431</v>
      </c>
      <c r="F301" s="15" t="n">
        <f aca="false">MIN(ABS(C301-$B$277), ABS(C301-180-$B$277), ABS(C301+180-$B$277))</f>
        <v>55.768181818</v>
      </c>
    </row>
    <row r="302" customFormat="false" ht="14.25" hidden="false" customHeight="false" outlineLevel="0" collapsed="false">
      <c r="C302" s="2" t="n">
        <v>12.272727273</v>
      </c>
      <c r="D302" s="3" t="n">
        <v>0.010118026</v>
      </c>
      <c r="E302" s="4" t="n">
        <v>0.010271934</v>
      </c>
      <c r="F302" s="15" t="n">
        <f aca="false">MIN(ABS(C302-$B$277), ABS(C302-180-$B$277), ABS(C302+180-$B$277))</f>
        <v>51.677272727</v>
      </c>
    </row>
    <row r="303" customFormat="false" ht="14.25" hidden="false" customHeight="false" outlineLevel="0" collapsed="false">
      <c r="C303" s="2" t="n">
        <v>16.363636364</v>
      </c>
      <c r="D303" s="3" t="n">
        <v>0.010248835</v>
      </c>
      <c r="E303" s="4" t="n">
        <v>0.010732077</v>
      </c>
      <c r="F303" s="15" t="n">
        <f aca="false">MIN(ABS(C303-$B$277), ABS(C303-180-$B$277), ABS(C303+180-$B$277))</f>
        <v>47.586363636</v>
      </c>
    </row>
    <row r="304" customFormat="false" ht="14.25" hidden="false" customHeight="false" outlineLevel="0" collapsed="false">
      <c r="C304" s="2" t="n">
        <v>20.454545455</v>
      </c>
      <c r="D304" s="3" t="n">
        <v>0.012204036</v>
      </c>
      <c r="E304" s="4" t="n">
        <v>0.011597333</v>
      </c>
      <c r="F304" s="15" t="n">
        <f aca="false">MIN(ABS(C304-$B$277), ABS(C304-180-$B$277), ABS(C304+180-$B$277))</f>
        <v>43.495454545</v>
      </c>
    </row>
    <row r="305" customFormat="false" ht="14.25" hidden="false" customHeight="false" outlineLevel="0" collapsed="false">
      <c r="C305" s="2" t="n">
        <v>24.545454545</v>
      </c>
      <c r="D305" s="3" t="n">
        <v>0.014618696</v>
      </c>
      <c r="E305" s="4" t="n">
        <v>0.013114696</v>
      </c>
      <c r="F305" s="15" t="n">
        <f aca="false">MIN(ABS(C305-$B$277), ABS(C305-180-$B$277), ABS(C305+180-$B$277))</f>
        <v>39.404545455</v>
      </c>
    </row>
    <row r="306" customFormat="false" ht="14.25" hidden="false" customHeight="false" outlineLevel="0" collapsed="false">
      <c r="C306" s="2" t="n">
        <v>28.636363636</v>
      </c>
      <c r="D306" s="3" t="n">
        <v>0.017431393</v>
      </c>
      <c r="E306" s="4" t="n">
        <v>0.015592104</v>
      </c>
      <c r="F306" s="15" t="n">
        <f aca="false">MIN(ABS(C306-$B$277), ABS(C306-180-$B$277), ABS(C306+180-$B$277))</f>
        <v>35.313636364</v>
      </c>
    </row>
    <row r="307" customFormat="false" ht="14.25" hidden="false" customHeight="false" outlineLevel="0" collapsed="false">
      <c r="C307" s="2" t="n">
        <v>32.727272727</v>
      </c>
      <c r="D307" s="3" t="n">
        <v>0.024931183</v>
      </c>
      <c r="E307" s="4" t="n">
        <v>0.019349443</v>
      </c>
      <c r="F307" s="15" t="n">
        <f aca="false">MIN(ABS(C307-$B$277), ABS(C307-180-$B$277), ABS(C307+180-$B$277))</f>
        <v>31.222727273</v>
      </c>
    </row>
    <row r="308" customFormat="false" ht="14.25" hidden="false" customHeight="false" outlineLevel="0" collapsed="false">
      <c r="C308" s="2" t="n">
        <v>36.818181818</v>
      </c>
      <c r="D308" s="3" t="n">
        <v>0.029164414</v>
      </c>
      <c r="E308" s="4" t="n">
        <v>0.02462613</v>
      </c>
      <c r="F308" s="15" t="n">
        <f aca="false">MIN(ABS(C308-$B$277), ABS(C308-180-$B$277), ABS(C308+180-$B$277))</f>
        <v>27.131818182</v>
      </c>
    </row>
    <row r="309" customFormat="false" ht="14.25" hidden="false" customHeight="false" outlineLevel="0" collapsed="false">
      <c r="C309" s="2" t="n">
        <v>40.909090909</v>
      </c>
      <c r="D309" s="3" t="n">
        <v>0.028813466</v>
      </c>
      <c r="E309" s="4" t="n">
        <v>0.031456372</v>
      </c>
      <c r="F309" s="15" t="n">
        <f aca="false">MIN(ABS(C309-$B$277), ABS(C309-180-$B$277), ABS(C309+180-$B$277))</f>
        <v>23.040909091</v>
      </c>
    </row>
    <row r="310" customFormat="false" ht="14.25" hidden="false" customHeight="false" outlineLevel="0" collapsed="false">
      <c r="C310" s="2" t="n">
        <v>45</v>
      </c>
      <c r="D310" s="3" t="n">
        <v>0.036961528</v>
      </c>
      <c r="E310" s="4" t="n">
        <v>0.03954777</v>
      </c>
      <c r="F310" s="15" t="n">
        <f aca="false">MIN(ABS(C310-$B$277), ABS(C310-180-$B$277), ABS(C310+180-$B$277))</f>
        <v>18.95</v>
      </c>
    </row>
    <row r="311" customFormat="false" ht="14.25" hidden="false" customHeight="false" outlineLevel="0" collapsed="false">
      <c r="C311" s="2" t="n">
        <v>49.090909091</v>
      </c>
      <c r="D311" s="3" t="n">
        <v>0.050696553</v>
      </c>
      <c r="E311" s="4" t="n">
        <v>0.048217846</v>
      </c>
      <c r="F311" s="15" t="n">
        <f aca="false">MIN(ABS(C311-$B$277), ABS(C311-180-$B$277), ABS(C311+180-$B$277))</f>
        <v>14.859090909</v>
      </c>
    </row>
    <row r="312" customFormat="false" ht="14.25" hidden="false" customHeight="false" outlineLevel="0" collapsed="false">
      <c r="C312" s="2" t="n">
        <v>53.181818182</v>
      </c>
      <c r="D312" s="3" t="n">
        <v>0.063274271</v>
      </c>
      <c r="E312" s="4" t="n">
        <v>0.056441048</v>
      </c>
      <c r="F312" s="15" t="n">
        <f aca="false">MIN(ABS(C312-$B$277), ABS(C312-180-$B$277), ABS(C312+180-$B$277))</f>
        <v>10.768181818</v>
      </c>
    </row>
    <row r="313" customFormat="false" ht="14.25" hidden="false" customHeight="false" outlineLevel="0" collapsed="false">
      <c r="C313" s="2" t="n">
        <v>57.272727273</v>
      </c>
      <c r="D313" s="3" t="n">
        <v>0.052303014</v>
      </c>
      <c r="E313" s="4" t="n">
        <v>0.063026969</v>
      </c>
      <c r="F313" s="15" t="n">
        <f aca="false">MIN(ABS(C313-$B$277), ABS(C313-180-$B$277), ABS(C313+180-$B$277))</f>
        <v>6.677272727</v>
      </c>
    </row>
    <row r="314" customFormat="false" ht="14.25" hidden="false" customHeight="false" outlineLevel="0" collapsed="false">
      <c r="C314" s="2" t="n">
        <v>61.363636364</v>
      </c>
      <c r="D314" s="3" t="n">
        <v>0.064197458</v>
      </c>
      <c r="E314" s="4" t="n">
        <v>0.066896354</v>
      </c>
      <c r="F314" s="15" t="n">
        <f aca="false">MIN(ABS(C314-$B$277), ABS(C314-180-$B$277), ABS(C314+180-$B$277))</f>
        <v>2.586363636</v>
      </c>
    </row>
    <row r="315" customFormat="false" ht="14.25" hidden="false" customHeight="false" outlineLevel="0" collapsed="false">
      <c r="C315" s="2" t="n">
        <v>65.454545455</v>
      </c>
      <c r="D315" s="3" t="n">
        <v>0.061460327</v>
      </c>
      <c r="E315" s="4" t="n">
        <v>0.067369372</v>
      </c>
      <c r="F315" s="15" t="n">
        <f aca="false">MIN(ABS(C315-$B$277), ABS(C315-180-$B$277), ABS(C315+180-$B$277))</f>
        <v>1.504545455</v>
      </c>
    </row>
    <row r="316" customFormat="false" ht="14.25" hidden="false" customHeight="false" outlineLevel="0" collapsed="false">
      <c r="C316" s="2" t="n">
        <v>69.545454545</v>
      </c>
      <c r="D316" s="3" t="n">
        <v>0.060391407</v>
      </c>
      <c r="E316" s="4" t="n">
        <v>0.064360751</v>
      </c>
      <c r="F316" s="15" t="n">
        <f aca="false">MIN(ABS(C316-$B$277), ABS(C316-180-$B$277), ABS(C316+180-$B$277))</f>
        <v>5.595454545</v>
      </c>
    </row>
    <row r="317" customFormat="false" ht="14.25" hidden="false" customHeight="false" outlineLevel="0" collapsed="false">
      <c r="C317" s="2" t="n">
        <v>73.636363636</v>
      </c>
      <c r="D317" s="3" t="n">
        <v>0.077929905</v>
      </c>
      <c r="E317" s="4" t="n">
        <v>0.058404885</v>
      </c>
      <c r="F317" s="15" t="n">
        <f aca="false">MIN(ABS(C317-$B$277), ABS(C317-180-$B$277), ABS(C317+180-$B$277))</f>
        <v>9.686363636</v>
      </c>
    </row>
    <row r="318" customFormat="false" ht="14.25" hidden="false" customHeight="false" outlineLevel="0" collapsed="false">
      <c r="C318" s="2" t="n">
        <v>77.727272727</v>
      </c>
      <c r="D318" s="3" t="n">
        <v>0.061988369</v>
      </c>
      <c r="E318" s="4" t="n">
        <v>0.050500772</v>
      </c>
      <c r="F318" s="15" t="n">
        <f aca="false">MIN(ABS(C318-$B$277), ABS(C318-180-$B$277), ABS(C318+180-$B$277))</f>
        <v>13.777272727</v>
      </c>
    </row>
    <row r="319" s="19" customFormat="true" ht="14.25" hidden="false" customHeight="false" outlineLevel="0" collapsed="false">
      <c r="A319" s="1"/>
      <c r="B319" s="1"/>
      <c r="C319" s="2" t="n">
        <v>81.818181818</v>
      </c>
      <c r="D319" s="3" t="n">
        <v>0.037747431</v>
      </c>
      <c r="E319" s="4" t="n">
        <v>0.041838534</v>
      </c>
      <c r="F319" s="15" t="n">
        <f aca="false">MIN(ABS(C319-$B$277), ABS(C319-180-$B$277), ABS(C319+180-$B$277))</f>
        <v>17.868181818</v>
      </c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XEZ319" s="0"/>
      <c r="XFA319" s="0"/>
      <c r="XFB319" s="0"/>
      <c r="XFC319" s="0"/>
    </row>
    <row r="320" customFormat="false" ht="14.25" hidden="false" customHeight="false" outlineLevel="0" collapsed="false">
      <c r="C320" s="2" t="n">
        <v>85.909090909</v>
      </c>
      <c r="D320" s="3" t="n">
        <v>0.020429288</v>
      </c>
      <c r="E320" s="4" t="n">
        <v>0.033510185</v>
      </c>
      <c r="F320" s="15" t="n">
        <f aca="false">MIN(ABS(C320-$B$277), ABS(C320-180-$B$277), ABS(C320+180-$B$277))</f>
        <v>21.959090909</v>
      </c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</row>
    <row r="321" customFormat="false" ht="14.25" hidden="false" customHeight="false" outlineLevel="0" collapsed="false">
      <c r="A321" s="19"/>
      <c r="B321" s="19"/>
      <c r="C321" s="20" t="n">
        <v>90</v>
      </c>
      <c r="D321" s="21" t="n">
        <v>0.019638863</v>
      </c>
      <c r="E321" s="22" t="n">
        <v>0.026299638</v>
      </c>
      <c r="F321" s="15" t="n">
        <f aca="false">MIN(ABS(C321-$B$277), ABS(C321-180-$B$277), ABS(C321+180-$B$277))</f>
        <v>26.05</v>
      </c>
      <c r="G321" s="19"/>
      <c r="H321" s="19"/>
    </row>
    <row r="322" customFormat="false" ht="14.25" hidden="false" customHeight="false" outlineLevel="0" collapsed="false">
      <c r="A322" s="14" t="n">
        <v>20241115</v>
      </c>
      <c r="B322" s="14" t="n">
        <v>67.98</v>
      </c>
      <c r="C322" s="2" t="n">
        <v>-90</v>
      </c>
      <c r="D322" s="3" t="n">
        <v>0.021949562</v>
      </c>
      <c r="E322" s="4" t="n">
        <v>0.01210997</v>
      </c>
      <c r="F322" s="15" t="n">
        <f aca="false">MIN(ABS(C322-$B$322), ABS(C322-180-$B$322), ABS(C322+180-$B$322))</f>
        <v>22.02</v>
      </c>
      <c r="G322" s="16" t="n">
        <f aca="false" t="array" ref="G322:G322">SQRT(SUMPRODUCT(D322:D366,F322:F366*F322:F366))</f>
        <v>35.5281123335836</v>
      </c>
      <c r="H322" s="3" t="n">
        <f aca="false" t="array" ref="H322:H322">SUMPRODUCT(D322:D366,ABS(F322:F366))</f>
        <v>25.9394903564704</v>
      </c>
    </row>
    <row r="323" customFormat="false" ht="14.25" hidden="false" customHeight="false" outlineLevel="0" collapsed="false">
      <c r="C323" s="2" t="n">
        <v>-85.909090909</v>
      </c>
      <c r="D323" s="3" t="n">
        <v>0.016949415</v>
      </c>
      <c r="E323" s="4" t="n">
        <v>0.01210997</v>
      </c>
      <c r="F323" s="15" t="n">
        <f aca="false">MIN(ABS(C323-$B$322), ABS(C323-180-$B$322), ABS(C323+180-$B$322))</f>
        <v>26.110909091</v>
      </c>
    </row>
    <row r="324" customFormat="false" ht="14.25" hidden="false" customHeight="false" outlineLevel="0" collapsed="false">
      <c r="C324" s="2" t="n">
        <v>-81.818181818</v>
      </c>
      <c r="D324" s="3" t="n">
        <v>0.017128181</v>
      </c>
      <c r="E324" s="4" t="n">
        <v>0.01210997</v>
      </c>
      <c r="F324" s="15" t="n">
        <f aca="false">MIN(ABS(C324-$B$322), ABS(C324-180-$B$322), ABS(C324+180-$B$322))</f>
        <v>30.201818182</v>
      </c>
      <c r="G324" s="1" t="e">
        <f aca="false">#REF!/G322</f>
        <v>#REF!</v>
      </c>
    </row>
    <row r="325" customFormat="false" ht="14.25" hidden="false" customHeight="false" outlineLevel="0" collapsed="false">
      <c r="C325" s="2" t="n">
        <v>-77.727272727</v>
      </c>
      <c r="D325" s="3" t="n">
        <v>0.015049659</v>
      </c>
      <c r="E325" s="4" t="n">
        <v>0.01210997</v>
      </c>
      <c r="F325" s="15" t="n">
        <f aca="false">MIN(ABS(C325-$B$322), ABS(C325-180-$B$322), ABS(C325+180-$B$322))</f>
        <v>34.292727273</v>
      </c>
    </row>
    <row r="326" customFormat="false" ht="14.25" hidden="false" customHeight="false" outlineLevel="0" collapsed="false">
      <c r="C326" s="2" t="n">
        <v>-73.636363636</v>
      </c>
      <c r="D326" s="3" t="n">
        <v>0.013699221</v>
      </c>
      <c r="E326" s="4" t="n">
        <v>0.01210997</v>
      </c>
      <c r="F326" s="15" t="n">
        <f aca="false">MIN(ABS(C326-$B$322), ABS(C326-180-$B$322), ABS(C326+180-$B$322))</f>
        <v>38.383636364</v>
      </c>
    </row>
    <row r="327" customFormat="false" ht="14.25" hidden="false" customHeight="false" outlineLevel="0" collapsed="false">
      <c r="C327" s="2" t="n">
        <v>-69.545454545</v>
      </c>
      <c r="D327" s="3" t="n">
        <v>0.013480561</v>
      </c>
      <c r="E327" s="4" t="n">
        <v>0.01210997</v>
      </c>
      <c r="F327" s="15" t="n">
        <f aca="false">MIN(ABS(C327-$B$322), ABS(C327-180-$B$322), ABS(C327+180-$B$322))</f>
        <v>42.474545455</v>
      </c>
    </row>
    <row r="328" customFormat="false" ht="14.25" hidden="false" customHeight="false" outlineLevel="0" collapsed="false">
      <c r="C328" s="2" t="n">
        <v>-65.454545455</v>
      </c>
      <c r="D328" s="3" t="n">
        <v>0.014564462</v>
      </c>
      <c r="E328" s="4" t="n">
        <v>0.01210997</v>
      </c>
      <c r="F328" s="15" t="n">
        <f aca="false">MIN(ABS(C328-$B$322), ABS(C328-180-$B$322), ABS(C328+180-$B$322))</f>
        <v>46.565454545</v>
      </c>
    </row>
    <row r="329" customFormat="false" ht="14.25" hidden="false" customHeight="false" outlineLevel="0" collapsed="false">
      <c r="C329" s="2" t="n">
        <v>-61.363636364</v>
      </c>
      <c r="D329" s="3" t="n">
        <v>0.014877004</v>
      </c>
      <c r="E329" s="4" t="n">
        <v>0.01210997</v>
      </c>
      <c r="F329" s="15" t="n">
        <f aca="false">MIN(ABS(C329-$B$322), ABS(C329-180-$B$322), ABS(C329+180-$B$322))</f>
        <v>50.656363636</v>
      </c>
    </row>
    <row r="330" customFormat="false" ht="14.25" hidden="false" customHeight="false" outlineLevel="0" collapsed="false">
      <c r="C330" s="2" t="n">
        <v>-57.272727273</v>
      </c>
      <c r="D330" s="3" t="n">
        <v>0.013434846</v>
      </c>
      <c r="E330" s="4" t="n">
        <v>0.01210997</v>
      </c>
      <c r="F330" s="15" t="n">
        <f aca="false">MIN(ABS(C330-$B$322), ABS(C330-180-$B$322), ABS(C330+180-$B$322))</f>
        <v>54.747272727</v>
      </c>
    </row>
    <row r="331" customFormat="false" ht="14.25" hidden="false" customHeight="false" outlineLevel="0" collapsed="false">
      <c r="C331" s="2" t="n">
        <v>-53.181818182</v>
      </c>
      <c r="D331" s="3" t="n">
        <v>0.012125538</v>
      </c>
      <c r="E331" s="4" t="n">
        <v>0.01210997</v>
      </c>
      <c r="F331" s="15" t="n">
        <f aca="false">MIN(ABS(C331-$B$322), ABS(C331-180-$B$322), ABS(C331+180-$B$322))</f>
        <v>58.838181818</v>
      </c>
    </row>
    <row r="332" customFormat="false" ht="14.25" hidden="false" customHeight="false" outlineLevel="0" collapsed="false">
      <c r="C332" s="2" t="n">
        <v>-49.090909091</v>
      </c>
      <c r="D332" s="3" t="n">
        <v>0.010430547</v>
      </c>
      <c r="E332" s="4" t="n">
        <v>0.01210997</v>
      </c>
      <c r="F332" s="15" t="n">
        <f aca="false">MIN(ABS(C332-$B$322), ABS(C332-180-$B$322), ABS(C332+180-$B$322))</f>
        <v>62.929090909</v>
      </c>
    </row>
    <row r="333" customFormat="false" ht="14.25" hidden="false" customHeight="false" outlineLevel="0" collapsed="false">
      <c r="C333" s="2" t="n">
        <v>-45</v>
      </c>
      <c r="D333" s="3" t="n">
        <v>0.010302193</v>
      </c>
      <c r="E333" s="4" t="n">
        <v>0.01210997</v>
      </c>
      <c r="F333" s="15" t="n">
        <f aca="false">MIN(ABS(C333-$B$322), ABS(C333-180-$B$322), ABS(C333+180-$B$322))</f>
        <v>67.02</v>
      </c>
    </row>
    <row r="334" customFormat="false" ht="14.25" hidden="false" customHeight="false" outlineLevel="0" collapsed="false">
      <c r="C334" s="2" t="n">
        <v>-40.909090909</v>
      </c>
      <c r="D334" s="3" t="n">
        <v>0.009936478</v>
      </c>
      <c r="E334" s="4" t="n">
        <v>0.01210997</v>
      </c>
      <c r="F334" s="15" t="n">
        <f aca="false">MIN(ABS(C334-$B$322), ABS(C334-180-$B$322), ABS(C334+180-$B$322))</f>
        <v>71.110909091</v>
      </c>
    </row>
    <row r="335" customFormat="false" ht="14.25" hidden="false" customHeight="false" outlineLevel="0" collapsed="false">
      <c r="C335" s="2" t="n">
        <v>-36.818181818</v>
      </c>
      <c r="D335" s="3" t="n">
        <v>0.010340151</v>
      </c>
      <c r="E335" s="4" t="n">
        <v>0.01210997</v>
      </c>
      <c r="F335" s="15" t="n">
        <f aca="false">MIN(ABS(C335-$B$322), ABS(C335-180-$B$322), ABS(C335+180-$B$322))</f>
        <v>75.201818182</v>
      </c>
    </row>
    <row r="336" customFormat="false" ht="14.25" hidden="false" customHeight="false" outlineLevel="0" collapsed="false">
      <c r="C336" s="2" t="n">
        <v>-32.727272727</v>
      </c>
      <c r="D336" s="3" t="n">
        <v>0.009401284</v>
      </c>
      <c r="E336" s="4" t="n">
        <v>0.01210997</v>
      </c>
      <c r="F336" s="15" t="n">
        <f aca="false">MIN(ABS(C336-$B$322), ABS(C336-180-$B$322), ABS(C336+180-$B$322))</f>
        <v>79.292727273</v>
      </c>
    </row>
    <row r="337" customFormat="false" ht="14.25" hidden="false" customHeight="false" outlineLevel="0" collapsed="false">
      <c r="C337" s="2" t="n">
        <v>-28.636363636</v>
      </c>
      <c r="D337" s="3" t="n">
        <v>0.008778067</v>
      </c>
      <c r="E337" s="4" t="n">
        <v>0.01210997</v>
      </c>
      <c r="F337" s="15" t="n">
        <f aca="false">MIN(ABS(C337-$B$322), ABS(C337-180-$B$322), ABS(C337+180-$B$322))</f>
        <v>83.383636364</v>
      </c>
    </row>
    <row r="338" customFormat="false" ht="14.25" hidden="false" customHeight="false" outlineLevel="0" collapsed="false">
      <c r="C338" s="2" t="n">
        <v>-24.545454545</v>
      </c>
      <c r="D338" s="3" t="n">
        <v>0.008229597</v>
      </c>
      <c r="E338" s="4" t="n">
        <v>0.01210997</v>
      </c>
      <c r="F338" s="15" t="n">
        <f aca="false">MIN(ABS(C338-$B$322), ABS(C338-180-$B$322), ABS(C338+180-$B$322))</f>
        <v>87.474545455</v>
      </c>
    </row>
    <row r="339" customFormat="false" ht="14.25" hidden="false" customHeight="false" outlineLevel="0" collapsed="false">
      <c r="C339" s="2" t="n">
        <v>-20.454545455</v>
      </c>
      <c r="D339" s="3" t="n">
        <v>0.008128955</v>
      </c>
      <c r="E339" s="4" t="n">
        <v>0.01210997</v>
      </c>
      <c r="F339" s="15" t="n">
        <f aca="false">MIN(ABS(C339-$B$322), ABS(C339-180-$B$322), ABS(C339+180-$B$322))</f>
        <v>88.434545455</v>
      </c>
    </row>
    <row r="340" customFormat="false" ht="14.25" hidden="false" customHeight="false" outlineLevel="0" collapsed="false">
      <c r="C340" s="2" t="n">
        <v>-16.363636364</v>
      </c>
      <c r="D340" s="3" t="n">
        <v>0.007655649</v>
      </c>
      <c r="E340" s="4" t="n">
        <v>0.01210997</v>
      </c>
      <c r="F340" s="15" t="n">
        <f aca="false">MIN(ABS(C340-$B$322), ABS(C340-180-$B$322), ABS(C340+180-$B$322))</f>
        <v>84.343636364</v>
      </c>
    </row>
    <row r="341" customFormat="false" ht="14.25" hidden="false" customHeight="false" outlineLevel="0" collapsed="false">
      <c r="C341" s="2" t="n">
        <v>-12.272727273</v>
      </c>
      <c r="D341" s="3" t="n">
        <v>0.007798843</v>
      </c>
      <c r="E341" s="4" t="n">
        <v>0.01210997</v>
      </c>
      <c r="F341" s="15" t="n">
        <f aca="false">MIN(ABS(C341-$B$322), ABS(C341-180-$B$322), ABS(C341+180-$B$322))</f>
        <v>80.252727273</v>
      </c>
    </row>
    <row r="342" customFormat="false" ht="14.25" hidden="false" customHeight="false" outlineLevel="0" collapsed="false">
      <c r="C342" s="2" t="n">
        <v>-8.181818182</v>
      </c>
      <c r="D342" s="3" t="n">
        <v>0.008083574</v>
      </c>
      <c r="E342" s="4" t="n">
        <v>0.01210997</v>
      </c>
      <c r="F342" s="15" t="n">
        <f aca="false">MIN(ABS(C342-$B$322), ABS(C342-180-$B$322), ABS(C342+180-$B$322))</f>
        <v>76.161818182</v>
      </c>
    </row>
    <row r="343" customFormat="false" ht="14.25" hidden="false" customHeight="false" outlineLevel="0" collapsed="false">
      <c r="C343" s="2" t="n">
        <v>-4.090909091</v>
      </c>
      <c r="D343" s="3" t="n">
        <v>0.008768452</v>
      </c>
      <c r="E343" s="4" t="n">
        <v>0.01210997</v>
      </c>
      <c r="F343" s="15" t="n">
        <f aca="false">MIN(ABS(C343-$B$322), ABS(C343-180-$B$322), ABS(C343+180-$B$322))</f>
        <v>72.070909091</v>
      </c>
    </row>
    <row r="344" customFormat="false" ht="14.25" hidden="false" customHeight="false" outlineLevel="0" collapsed="false">
      <c r="C344" s="2" t="n">
        <v>0</v>
      </c>
      <c r="D344" s="3" t="n">
        <v>0.009739384</v>
      </c>
      <c r="E344" s="4" t="n">
        <v>0.01210997</v>
      </c>
      <c r="F344" s="15" t="n">
        <f aca="false">MIN(ABS(C344-$B$322), ABS(C344-180-$B$322), ABS(C344+180-$B$322))</f>
        <v>67.98</v>
      </c>
    </row>
    <row r="345" customFormat="false" ht="14.25" hidden="false" customHeight="false" outlineLevel="0" collapsed="false">
      <c r="C345" s="2" t="n">
        <v>4.090909091</v>
      </c>
      <c r="D345" s="3" t="n">
        <v>0.009089495</v>
      </c>
      <c r="E345" s="4" t="n">
        <v>0.012109972</v>
      </c>
      <c r="F345" s="15" t="n">
        <f aca="false">MIN(ABS(C345-$B$322), ABS(C345-180-$B$322), ABS(C345+180-$B$322))</f>
        <v>63.889090909</v>
      </c>
    </row>
    <row r="346" customFormat="false" ht="14.25" hidden="false" customHeight="false" outlineLevel="0" collapsed="false">
      <c r="C346" s="2" t="n">
        <v>8.181818182</v>
      </c>
      <c r="D346" s="3" t="n">
        <v>0.00866999</v>
      </c>
      <c r="E346" s="4" t="n">
        <v>0.01210999</v>
      </c>
      <c r="F346" s="15" t="n">
        <f aca="false">MIN(ABS(C346-$B$322), ABS(C346-180-$B$322), ABS(C346+180-$B$322))</f>
        <v>59.798181818</v>
      </c>
    </row>
    <row r="347" customFormat="false" ht="14.25" hidden="false" customHeight="false" outlineLevel="0" collapsed="false">
      <c r="C347" s="2" t="n">
        <v>12.272727273</v>
      </c>
      <c r="D347" s="3" t="n">
        <v>0.008949051</v>
      </c>
      <c r="E347" s="4" t="n">
        <v>0.012110114</v>
      </c>
      <c r="F347" s="15" t="n">
        <f aca="false">MIN(ABS(C347-$B$322), ABS(C347-180-$B$322), ABS(C347+180-$B$322))</f>
        <v>55.707272727</v>
      </c>
    </row>
    <row r="348" customFormat="false" ht="14.25" hidden="false" customHeight="false" outlineLevel="0" collapsed="false">
      <c r="C348" s="2" t="n">
        <v>16.363636364</v>
      </c>
      <c r="D348" s="3" t="n">
        <v>0.010474085</v>
      </c>
      <c r="E348" s="4" t="n">
        <v>0.012110888</v>
      </c>
      <c r="F348" s="15" t="n">
        <f aca="false">MIN(ABS(C348-$B$322), ABS(C348-180-$B$322), ABS(C348+180-$B$322))</f>
        <v>51.616363636</v>
      </c>
    </row>
    <row r="349" customFormat="false" ht="14.25" hidden="false" customHeight="false" outlineLevel="0" collapsed="false">
      <c r="C349" s="2" t="n">
        <v>20.454545455</v>
      </c>
      <c r="D349" s="3" t="n">
        <v>0.01134382</v>
      </c>
      <c r="E349" s="4" t="n">
        <v>0.012115041</v>
      </c>
      <c r="F349" s="15" t="n">
        <f aca="false">MIN(ABS(C349-$B$322), ABS(C349-180-$B$322), ABS(C349+180-$B$322))</f>
        <v>47.525454545</v>
      </c>
    </row>
    <row r="350" customFormat="false" ht="14.25" hidden="false" customHeight="false" outlineLevel="0" collapsed="false">
      <c r="C350" s="2" t="n">
        <v>24.545454545</v>
      </c>
      <c r="D350" s="3" t="n">
        <v>0.010063692</v>
      </c>
      <c r="E350" s="4" t="n">
        <v>0.012134301</v>
      </c>
      <c r="F350" s="15" t="n">
        <f aca="false">MIN(ABS(C350-$B$322), ABS(C350-180-$B$322), ABS(C350+180-$B$322))</f>
        <v>43.434545455</v>
      </c>
    </row>
    <row r="351" customFormat="false" ht="14.25" hidden="false" customHeight="false" outlineLevel="0" collapsed="false">
      <c r="C351" s="2" t="n">
        <v>28.636363636</v>
      </c>
      <c r="D351" s="3" t="n">
        <v>0.014251152</v>
      </c>
      <c r="E351" s="4" t="n">
        <v>0.012211351</v>
      </c>
      <c r="F351" s="15" t="n">
        <f aca="false">MIN(ABS(C351-$B$322), ABS(C351-180-$B$322), ABS(C351+180-$B$322))</f>
        <v>39.343636364</v>
      </c>
    </row>
    <row r="352" customFormat="false" ht="14.25" hidden="false" customHeight="false" outlineLevel="0" collapsed="false">
      <c r="C352" s="2" t="n">
        <v>32.727272727</v>
      </c>
      <c r="D352" s="3" t="n">
        <v>0.017355483</v>
      </c>
      <c r="E352" s="4" t="n">
        <v>0.012476831</v>
      </c>
      <c r="F352" s="15" t="n">
        <f aca="false">MIN(ABS(C352-$B$322), ABS(C352-180-$B$322), ABS(C352+180-$B$322))</f>
        <v>35.252727273</v>
      </c>
    </row>
    <row r="353" customFormat="false" ht="14.25" hidden="false" customHeight="false" outlineLevel="0" collapsed="false">
      <c r="C353" s="2" t="n">
        <v>36.818181818</v>
      </c>
      <c r="D353" s="3" t="n">
        <v>0.021358766</v>
      </c>
      <c r="E353" s="4" t="n">
        <v>0.01326287</v>
      </c>
      <c r="F353" s="15" t="n">
        <f aca="false">MIN(ABS(C353-$B$322), ABS(C353-180-$B$322), ABS(C353+180-$B$322))</f>
        <v>31.161818182</v>
      </c>
    </row>
    <row r="354" customFormat="false" ht="14.25" hidden="false" customHeight="false" outlineLevel="0" collapsed="false">
      <c r="C354" s="2" t="n">
        <v>40.909090909</v>
      </c>
      <c r="D354" s="3" t="n">
        <v>0.020729427</v>
      </c>
      <c r="E354" s="4" t="n">
        <v>0.015256464</v>
      </c>
      <c r="F354" s="15" t="n">
        <f aca="false">MIN(ABS(C354-$B$322), ABS(C354-180-$B$322), ABS(C354+180-$B$322))</f>
        <v>27.070909091</v>
      </c>
    </row>
    <row r="355" customFormat="false" ht="14.25" hidden="false" customHeight="false" outlineLevel="0" collapsed="false">
      <c r="C355" s="2" t="n">
        <v>45</v>
      </c>
      <c r="D355" s="3" t="n">
        <v>0.02872453</v>
      </c>
      <c r="E355" s="4" t="n">
        <v>0.019567706</v>
      </c>
      <c r="F355" s="15" t="n">
        <f aca="false">MIN(ABS(C355-$B$322), ABS(C355-180-$B$322), ABS(C355+180-$B$322))</f>
        <v>22.98</v>
      </c>
    </row>
    <row r="356" customFormat="false" ht="14.25" hidden="false" customHeight="false" outlineLevel="0" collapsed="false">
      <c r="C356" s="2" t="n">
        <v>49.090909091</v>
      </c>
      <c r="D356" s="3" t="n">
        <v>0.029885521</v>
      </c>
      <c r="E356" s="4" t="n">
        <v>0.027460811</v>
      </c>
      <c r="F356" s="15" t="n">
        <f aca="false">MIN(ABS(C356-$B$322), ABS(C356-180-$B$322), ABS(C356+180-$B$322))</f>
        <v>18.889090909</v>
      </c>
    </row>
    <row r="357" customFormat="false" ht="14.25" hidden="false" customHeight="false" outlineLevel="0" collapsed="false">
      <c r="C357" s="2" t="n">
        <v>53.181818182</v>
      </c>
      <c r="D357" s="3" t="n">
        <v>0.039257087</v>
      </c>
      <c r="E357" s="4" t="n">
        <v>0.039551126</v>
      </c>
      <c r="F357" s="15" t="n">
        <f aca="false">MIN(ABS(C357-$B$322), ABS(C357-180-$B$322), ABS(C357+180-$B$322))</f>
        <v>14.798181818</v>
      </c>
    </row>
    <row r="358" customFormat="false" ht="14.25" hidden="false" customHeight="false" outlineLevel="0" collapsed="false">
      <c r="C358" s="2" t="n">
        <v>57.272727273</v>
      </c>
      <c r="D358" s="3" t="n">
        <v>0.051714217</v>
      </c>
      <c r="E358" s="4" t="n">
        <v>0.054710762</v>
      </c>
      <c r="F358" s="15" t="n">
        <f aca="false">MIN(ABS(C358-$B$322), ABS(C358-180-$B$322), ABS(C358+180-$B$322))</f>
        <v>10.707272727</v>
      </c>
    </row>
    <row r="359" customFormat="false" ht="14.25" hidden="false" customHeight="false" outlineLevel="0" collapsed="false">
      <c r="C359" s="2" t="n">
        <v>61.363636364</v>
      </c>
      <c r="D359" s="3" t="n">
        <v>0.065931911</v>
      </c>
      <c r="E359" s="4" t="n">
        <v>0.069545151</v>
      </c>
      <c r="F359" s="15" t="n">
        <f aca="false">MIN(ABS(C359-$B$322), ABS(C359-180-$B$322), ABS(C359+180-$B$322))</f>
        <v>6.616363636</v>
      </c>
    </row>
    <row r="360" customFormat="false" ht="14.25" hidden="false" customHeight="false" outlineLevel="0" collapsed="false">
      <c r="C360" s="2" t="n">
        <v>65.454545455</v>
      </c>
      <c r="D360" s="3" t="n">
        <v>0.074676788</v>
      </c>
      <c r="E360" s="4" t="n">
        <v>0.07935859</v>
      </c>
      <c r="F360" s="15" t="n">
        <f aca="false">MIN(ABS(C360-$B$322), ABS(C360-180-$B$322), ABS(C360+180-$B$322))</f>
        <v>2.525454545</v>
      </c>
    </row>
    <row r="361" customFormat="false" ht="14.25" hidden="false" customHeight="false" outlineLevel="0" collapsed="false">
      <c r="C361" s="2" t="n">
        <v>69.545454545</v>
      </c>
      <c r="D361" s="3" t="n">
        <v>0.085142898</v>
      </c>
      <c r="E361" s="4" t="n">
        <v>0.080490712</v>
      </c>
      <c r="F361" s="15" t="n">
        <f aca="false">MIN(ABS(C361-$B$322), ABS(C361-180-$B$322), ABS(C361+180-$B$322))</f>
        <v>1.56545454499999</v>
      </c>
    </row>
    <row r="362" customFormat="false" ht="14.25" hidden="false" customHeight="false" outlineLevel="0" collapsed="false">
      <c r="C362" s="2" t="n">
        <v>73.636363636</v>
      </c>
      <c r="D362" s="3" t="n">
        <v>0.07747608</v>
      </c>
      <c r="E362" s="4" t="n">
        <v>0.072495001</v>
      </c>
      <c r="F362" s="15" t="n">
        <f aca="false">MIN(ABS(C362-$B$322), ABS(C362-180-$B$322), ABS(C362+180-$B$322))</f>
        <v>5.656363636</v>
      </c>
    </row>
    <row r="363" customFormat="false" ht="14.25" hidden="false" customHeight="false" outlineLevel="0" collapsed="false">
      <c r="C363" s="2" t="n">
        <v>77.727272727</v>
      </c>
      <c r="D363" s="3" t="n">
        <v>0.063177851</v>
      </c>
      <c r="E363" s="4" t="n">
        <v>0.058419442</v>
      </c>
      <c r="F363" s="15" t="n">
        <f aca="false">MIN(ABS(C363-$B$322), ABS(C363-180-$B$322), ABS(C363+180-$B$322))</f>
        <v>9.747272727</v>
      </c>
    </row>
    <row r="364" s="24" customFormat="true" ht="14.25" hidden="false" customHeight="false" outlineLevel="0" collapsed="false">
      <c r="A364" s="1"/>
      <c r="B364" s="1"/>
      <c r="C364" s="2" t="n">
        <v>81.818181818</v>
      </c>
      <c r="D364" s="3" t="n">
        <v>0.037283136</v>
      </c>
      <c r="E364" s="4" t="n">
        <v>0.042952885</v>
      </c>
      <c r="F364" s="15" t="n">
        <f aca="false">MIN(ABS(C364-$B$322), ABS(C364-180-$B$322), ABS(C364+180-$B$322))</f>
        <v>13.838181818</v>
      </c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XEZ364" s="0"/>
      <c r="XFA364" s="0"/>
      <c r="XFB364" s="0"/>
      <c r="XFC364" s="0"/>
    </row>
    <row r="365" customFormat="false" ht="14.25" hidden="false" customHeight="false" outlineLevel="0" collapsed="false">
      <c r="C365" s="2" t="n">
        <v>85.909090909</v>
      </c>
      <c r="D365" s="3" t="n">
        <v>0.021643837</v>
      </c>
      <c r="E365" s="4" t="n">
        <v>0.029949609</v>
      </c>
      <c r="F365" s="15" t="n">
        <f aca="false">MIN(ABS(C365-$B$322), ABS(C365-180-$B$322), ABS(C365+180-$B$322))</f>
        <v>17.929090909</v>
      </c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</row>
    <row r="366" customFormat="false" ht="14.25" hidden="false" customHeight="false" outlineLevel="0" collapsed="false">
      <c r="A366" s="24"/>
      <c r="B366" s="24"/>
      <c r="C366" s="25" t="n">
        <v>90</v>
      </c>
      <c r="D366" s="26" t="n">
        <v>0.021949562</v>
      </c>
      <c r="E366" s="27" t="n">
        <v>0.021071079</v>
      </c>
      <c r="F366" s="15" t="n">
        <f aca="false">MIN(ABS(C366-$B$322), ABS(C366-180-$B$322), ABS(C366+180-$B$322))</f>
        <v>22.02</v>
      </c>
      <c r="G366" s="24"/>
      <c r="H366" s="24"/>
    </row>
  </sheetData>
  <conditionalFormatting sqref="F1:F366 F819:F1048576">
    <cfRule type="cellIs" priority="2" operator="notBetween" aboveAverage="0" equalAverage="0" bottom="0" percent="0" rank="0" text="" dxfId="0">
      <formula>0</formula>
      <formula>90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58"/>
  <sheetViews>
    <sheetView showFormulas="false" showGridLines="true" showRowColHeaders="true" showZeros="true" rightToLeft="false" tabSelected="false" showOutlineSymbols="true" defaultGridColor="true" view="normal" topLeftCell="A417" colorId="64" zoomScale="100" zoomScaleNormal="100" zoomScalePageLayoutView="100" workbookViewId="0">
      <selection pane="topLeft" activeCell="L415" activeCellId="0" sqref="L415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60.33"/>
    <col collapsed="false" customWidth="true" hidden="false" outlineLevel="0" max="2" min="2" style="1" width="16.11"/>
    <col collapsed="false" customWidth="true" hidden="false" outlineLevel="0" max="3" min="3" style="1" width="11.22"/>
    <col collapsed="false" customWidth="true" hidden="false" outlineLevel="0" max="4" min="4" style="1" width="8.34"/>
    <col collapsed="false" customWidth="true" hidden="false" outlineLevel="0" max="5" min="5" style="1" width="9.88"/>
    <col collapsed="false" customWidth="true" hidden="false" outlineLevel="0" max="6" min="6" style="1" width="12.22"/>
    <col collapsed="false" customWidth="true" hidden="false" outlineLevel="0" max="7" min="7" style="1" width="17.76"/>
    <col collapsed="false" customWidth="true" hidden="false" outlineLevel="0" max="8" min="8" style="1" width="10.44"/>
    <col collapsed="false" customWidth="true" hidden="false" outlineLevel="0" max="9" min="9" style="1" width="20.22"/>
    <col collapsed="false" customWidth="true" hidden="false" outlineLevel="0" max="10" min="10" style="1" width="19.88"/>
    <col collapsed="false" customWidth="true" hidden="false" outlineLevel="0" max="11" min="11" style="1" width="8.56"/>
    <col collapsed="false" customWidth="true" hidden="false" outlineLevel="0" max="12" min="12" style="1" width="26.88"/>
    <col collapsed="false" customWidth="true" hidden="false" outlineLevel="0" max="13" min="13" style="1" width="25.77"/>
  </cols>
  <sheetData>
    <row r="1" customFormat="false" ht="17.35" hidden="false" customHeight="false" outlineLevel="0" collapsed="false">
      <c r="A1" s="5" t="s">
        <v>0</v>
      </c>
      <c r="B1" s="6" t="s">
        <v>1</v>
      </c>
      <c r="F1" s="18"/>
      <c r="G1" s="18"/>
      <c r="H1" s="28"/>
    </row>
    <row r="2" customFormat="false" ht="14.25" hidden="false" customHeight="false" outlineLevel="0" collapsed="false">
      <c r="F2" s="18"/>
      <c r="G2" s="18"/>
      <c r="H2" s="28"/>
    </row>
    <row r="3" customFormat="false" ht="14.25" hidden="false" customHeight="false" outlineLevel="0" collapsed="false">
      <c r="F3" s="18"/>
      <c r="G3" s="18"/>
      <c r="H3" s="28"/>
      <c r="I3" s="1" t="n">
        <f aca="false">MIN(2, 3, 0)</f>
        <v>0</v>
      </c>
      <c r="K3" s="1" t="s">
        <v>2</v>
      </c>
    </row>
    <row r="4" customFormat="false" ht="14.25" hidden="false" customHeight="false" outlineLevel="0" collapsed="false">
      <c r="A4" s="7" t="s">
        <v>3</v>
      </c>
      <c r="B4" s="1" t="s">
        <v>4</v>
      </c>
      <c r="F4" s="18"/>
      <c r="G4" s="18"/>
      <c r="H4" s="28"/>
      <c r="K4" s="1" t="s">
        <v>5</v>
      </c>
    </row>
    <row r="5" customFormat="false" ht="14.25" hidden="false" customHeight="false" outlineLevel="0" collapsed="false">
      <c r="F5" s="18"/>
      <c r="G5" s="18"/>
      <c r="H5" s="28"/>
      <c r="I5" s="1" t="s">
        <v>19</v>
      </c>
      <c r="J5" s="1" t="s">
        <v>19</v>
      </c>
      <c r="K5" s="1" t="s">
        <v>20</v>
      </c>
      <c r="L5" s="1" t="s">
        <v>20</v>
      </c>
      <c r="M5" s="1" t="s">
        <v>20</v>
      </c>
    </row>
    <row r="6" customFormat="false" ht="14.25" hidden="false" customHeight="false" outlineLevel="0" collapsed="false">
      <c r="A6" s="8" t="s">
        <v>6</v>
      </c>
      <c r="B6" s="8" t="s">
        <v>7</v>
      </c>
      <c r="C6" s="8" t="s">
        <v>16</v>
      </c>
      <c r="D6" s="8" t="s">
        <v>14</v>
      </c>
      <c r="E6" s="8" t="s">
        <v>17</v>
      </c>
      <c r="F6" s="29" t="s">
        <v>7</v>
      </c>
      <c r="G6" s="29" t="s">
        <v>21</v>
      </c>
      <c r="H6" s="29" t="s">
        <v>9</v>
      </c>
      <c r="I6" s="30" t="s">
        <v>22</v>
      </c>
      <c r="J6" s="31" t="s">
        <v>23</v>
      </c>
      <c r="K6" s="12" t="s">
        <v>10</v>
      </c>
      <c r="L6" s="1" t="s">
        <v>24</v>
      </c>
      <c r="M6" s="1" t="s">
        <v>25</v>
      </c>
    </row>
    <row r="7" customFormat="false" ht="14.25" hidden="false" customHeight="false" outlineLevel="0" collapsed="false">
      <c r="A7" s="14" t="n">
        <v>20241115</v>
      </c>
      <c r="B7" s="14" t="n">
        <v>-98.01</v>
      </c>
      <c r="C7" s="14" t="n">
        <v>11.9</v>
      </c>
      <c r="D7" s="14" t="s">
        <v>26</v>
      </c>
      <c r="E7" s="14" t="s">
        <v>27</v>
      </c>
      <c r="F7" s="18" t="n">
        <v>-90</v>
      </c>
      <c r="G7" s="18" t="n">
        <v>0.104578426</v>
      </c>
      <c r="H7" s="28" t="n">
        <v>0.102718191</v>
      </c>
      <c r="K7" s="15" t="n">
        <f aca="false">MIN(ABS(F7-$B$7), ABS(F7-180-$B$7), ABS(F7+180-$B$7))</f>
        <v>8.01000000000001</v>
      </c>
      <c r="L7" s="16" t="n">
        <f aca="false" t="array" ref="L7:L7">SQRT(SUMPRODUCT(G7:G51,K7:K51*K7:K51))</f>
        <v>26.7811883250482</v>
      </c>
      <c r="M7" s="3" t="n">
        <f aca="false" t="array" ref="M7:M7">SUMPRODUCT(G7:G51,ABS(K7:K51))</f>
        <v>18.1929147358658</v>
      </c>
    </row>
    <row r="8" customFormat="false" ht="14.25" hidden="false" customHeight="false" outlineLevel="0" collapsed="false">
      <c r="A8" s="1" t="s">
        <v>28</v>
      </c>
      <c r="F8" s="18" t="n">
        <v>-85.909090909</v>
      </c>
      <c r="G8" s="18" t="n">
        <v>0.076676208</v>
      </c>
      <c r="H8" s="28" t="n">
        <v>0.081086127</v>
      </c>
      <c r="K8" s="15" t="n">
        <f aca="false">MIN(ABS(F8-$B$7), ABS(F8-180-$B$7), ABS(F8+180-$B$7))</f>
        <v>12.100909091</v>
      </c>
    </row>
    <row r="9" customFormat="false" ht="14.25" hidden="false" customHeight="false" outlineLevel="0" collapsed="false">
      <c r="F9" s="18" t="n">
        <v>-81.818181818</v>
      </c>
      <c r="G9" s="18" t="n">
        <v>0.05973613</v>
      </c>
      <c r="H9" s="28" t="n">
        <v>0.059552353</v>
      </c>
      <c r="K9" s="15" t="n">
        <f aca="false">MIN(ABS(F9-$B$7), ABS(F9-180-$B$7), ABS(F9+180-$B$7))</f>
        <v>16.191818182</v>
      </c>
      <c r="L9" s="1" t="n">
        <f aca="false">C7/L7</f>
        <v>0.44434174673534</v>
      </c>
    </row>
    <row r="10" customFormat="false" ht="14.25" hidden="false" customHeight="false" outlineLevel="0" collapsed="false">
      <c r="F10" s="18" t="n">
        <v>-77.727272727</v>
      </c>
      <c r="G10" s="18" t="n">
        <v>0.047297651</v>
      </c>
      <c r="H10" s="28" t="n">
        <v>0.042077108</v>
      </c>
      <c r="K10" s="15" t="n">
        <f aca="false">MIN(ABS(F10-$B$7), ABS(F10-180-$B$7), ABS(F10+180-$B$7))</f>
        <v>20.282727273</v>
      </c>
    </row>
    <row r="11" customFormat="false" ht="14.25" hidden="false" customHeight="false" outlineLevel="0" collapsed="false">
      <c r="F11" s="18" t="n">
        <v>-73.636363636</v>
      </c>
      <c r="G11" s="18" t="n">
        <v>0.031243067</v>
      </c>
      <c r="H11" s="28" t="n">
        <v>0.030095592</v>
      </c>
      <c r="K11" s="15" t="n">
        <f aca="false">MIN(ABS(F11-$B$7), ABS(F11-180-$B$7), ABS(F11+180-$B$7))</f>
        <v>24.373636364</v>
      </c>
    </row>
    <row r="12" customFormat="false" ht="14.25" hidden="false" customHeight="false" outlineLevel="0" collapsed="false">
      <c r="F12" s="18" t="n">
        <v>-69.545454545</v>
      </c>
      <c r="G12" s="18" t="n">
        <v>0.020990749</v>
      </c>
      <c r="H12" s="28" t="n">
        <v>0.023032821</v>
      </c>
      <c r="K12" s="15" t="n">
        <f aca="false">MIN(ABS(F12-$B$7), ABS(F12-180-$B$7), ABS(F12+180-$B$7))</f>
        <v>28.464545455</v>
      </c>
    </row>
    <row r="13" customFormat="false" ht="14.25" hidden="false" customHeight="false" outlineLevel="0" collapsed="false">
      <c r="F13" s="18" t="n">
        <v>-65.454545455</v>
      </c>
      <c r="G13" s="18" t="n">
        <v>0.015716837</v>
      </c>
      <c r="H13" s="28" t="n">
        <v>0.019417904</v>
      </c>
      <c r="K13" s="15" t="n">
        <f aca="false">MIN(ABS(F13-$B$7), ABS(F13-180-$B$7), ABS(F13+180-$B$7))</f>
        <v>32.555454545</v>
      </c>
    </row>
    <row r="14" customFormat="false" ht="14.25" hidden="false" customHeight="false" outlineLevel="0" collapsed="false">
      <c r="F14" s="18" t="n">
        <v>-61.363636364</v>
      </c>
      <c r="G14" s="18" t="n">
        <v>0.011686065</v>
      </c>
      <c r="H14" s="28" t="n">
        <v>0.017801546</v>
      </c>
      <c r="K14" s="15" t="n">
        <f aca="false">MIN(ABS(F14-$B$7), ABS(F14-180-$B$7), ABS(F14+180-$B$7))</f>
        <v>36.646363636</v>
      </c>
    </row>
    <row r="15" customFormat="false" ht="14.25" hidden="false" customHeight="false" outlineLevel="0" collapsed="false">
      <c r="F15" s="18" t="n">
        <v>-57.272727273</v>
      </c>
      <c r="G15" s="18" t="n">
        <v>0.009721827</v>
      </c>
      <c r="H15" s="28" t="n">
        <v>0.017167598</v>
      </c>
      <c r="K15" s="15" t="n">
        <f aca="false">MIN(ABS(F15-$B$7), ABS(F15-180-$B$7), ABS(F15+180-$B$7))</f>
        <v>40.737272727</v>
      </c>
    </row>
    <row r="16" customFormat="false" ht="14.25" hidden="false" customHeight="false" outlineLevel="0" collapsed="false">
      <c r="F16" s="18" t="n">
        <v>-53.181818182</v>
      </c>
      <c r="G16" s="18" t="n">
        <v>0.008604835</v>
      </c>
      <c r="H16" s="28" t="n">
        <v>0.016948886</v>
      </c>
      <c r="K16" s="15" t="n">
        <f aca="false">MIN(ABS(F16-$B$7), ABS(F16-180-$B$7), ABS(F16+180-$B$7))</f>
        <v>44.828181818</v>
      </c>
    </row>
    <row r="17" customFormat="false" ht="14.25" hidden="false" customHeight="false" outlineLevel="0" collapsed="false">
      <c r="F17" s="18" t="n">
        <v>-49.090909091</v>
      </c>
      <c r="G17" s="18" t="n">
        <v>0.007378994</v>
      </c>
      <c r="H17" s="28" t="n">
        <v>0.016882378</v>
      </c>
      <c r="K17" s="15" t="n">
        <f aca="false">MIN(ABS(F17-$B$7), ABS(F17-180-$B$7), ABS(F17+180-$B$7))</f>
        <v>48.919090909</v>
      </c>
    </row>
    <row r="18" customFormat="false" ht="14.25" hidden="false" customHeight="false" outlineLevel="0" collapsed="false">
      <c r="F18" s="18" t="n">
        <v>-45</v>
      </c>
      <c r="G18" s="18" t="n">
        <v>0.00751317</v>
      </c>
      <c r="H18" s="28" t="n">
        <v>0.016864523</v>
      </c>
      <c r="K18" s="15" t="n">
        <f aca="false">MIN(ABS(F18-$B$7), ABS(F18-180-$B$7), ABS(F18+180-$B$7))</f>
        <v>53.01</v>
      </c>
    </row>
    <row r="19" customFormat="false" ht="14.25" hidden="false" customHeight="false" outlineLevel="0" collapsed="false">
      <c r="F19" s="18" t="n">
        <v>-40.909090909</v>
      </c>
      <c r="G19" s="18" t="n">
        <v>0.006687682</v>
      </c>
      <c r="H19" s="28" t="n">
        <v>0.016860288</v>
      </c>
      <c r="K19" s="15" t="n">
        <f aca="false">MIN(ABS(F19-$B$7), ABS(F19-180-$B$7), ABS(F19+180-$B$7))</f>
        <v>57.100909091</v>
      </c>
    </row>
    <row r="20" customFormat="false" ht="14.25" hidden="false" customHeight="false" outlineLevel="0" collapsed="false">
      <c r="F20" s="18" t="n">
        <v>-36.818181818</v>
      </c>
      <c r="G20" s="18" t="n">
        <v>0.006168802</v>
      </c>
      <c r="H20" s="28" t="n">
        <v>0.016859398</v>
      </c>
      <c r="K20" s="15" t="n">
        <f aca="false">MIN(ABS(F20-$B$7), ABS(F20-180-$B$7), ABS(F20+180-$B$7))</f>
        <v>61.191818182</v>
      </c>
    </row>
    <row r="21" customFormat="false" ht="14.25" hidden="false" customHeight="false" outlineLevel="0" collapsed="false">
      <c r="F21" s="18" t="n">
        <v>-32.727272727</v>
      </c>
      <c r="G21" s="18" t="n">
        <v>0.005006644</v>
      </c>
      <c r="H21" s="28" t="n">
        <v>0.016859233</v>
      </c>
      <c r="K21" s="15" t="n">
        <f aca="false">MIN(ABS(F21-$B$7), ABS(F21-180-$B$7), ABS(F21+180-$B$7))</f>
        <v>65.282727273</v>
      </c>
    </row>
    <row r="22" customFormat="false" ht="14.25" hidden="false" customHeight="false" outlineLevel="0" collapsed="false">
      <c r="F22" s="18" t="n">
        <v>-28.636363636</v>
      </c>
      <c r="G22" s="18" t="n">
        <v>0.004610457</v>
      </c>
      <c r="H22" s="28" t="n">
        <v>0.016859206</v>
      </c>
      <c r="K22" s="15" t="n">
        <f aca="false">MIN(ABS(F22-$B$7), ABS(F22-180-$B$7), ABS(F22+180-$B$7))</f>
        <v>69.373636364</v>
      </c>
    </row>
    <row r="23" customFormat="false" ht="14.25" hidden="false" customHeight="false" outlineLevel="0" collapsed="false">
      <c r="F23" s="18" t="n">
        <v>-24.545454545</v>
      </c>
      <c r="G23" s="18" t="n">
        <v>0.004526699</v>
      </c>
      <c r="H23" s="28" t="n">
        <v>0.016859202</v>
      </c>
      <c r="K23" s="15" t="n">
        <f aca="false">MIN(ABS(F23-$B$7), ABS(F23-180-$B$7), ABS(F23+180-$B$7))</f>
        <v>73.464545455</v>
      </c>
    </row>
    <row r="24" customFormat="false" ht="14.25" hidden="false" customHeight="false" outlineLevel="0" collapsed="false">
      <c r="F24" s="18" t="n">
        <v>-20.454545455</v>
      </c>
      <c r="G24" s="18" t="n">
        <v>0.00455437</v>
      </c>
      <c r="H24" s="28" t="n">
        <v>0.016859202</v>
      </c>
      <c r="K24" s="15" t="n">
        <f aca="false">MIN(ABS(F24-$B$7), ABS(F24-180-$B$7), ABS(F24+180-$B$7))</f>
        <v>77.555454545</v>
      </c>
    </row>
    <row r="25" customFormat="false" ht="14.25" hidden="false" customHeight="false" outlineLevel="0" collapsed="false">
      <c r="F25" s="18" t="n">
        <v>-16.363636364</v>
      </c>
      <c r="G25" s="18" t="n">
        <v>0.004103129</v>
      </c>
      <c r="H25" s="28" t="n">
        <v>0.016859202</v>
      </c>
      <c r="K25" s="15" t="n">
        <f aca="false">MIN(ABS(F25-$B$7), ABS(F25-180-$B$7), ABS(F25+180-$B$7))</f>
        <v>81.646363636</v>
      </c>
    </row>
    <row r="26" customFormat="false" ht="14.25" hidden="false" customHeight="false" outlineLevel="0" collapsed="false">
      <c r="F26" s="18" t="n">
        <v>-12.272727273</v>
      </c>
      <c r="G26" s="18" t="n">
        <v>0.00401698</v>
      </c>
      <c r="H26" s="28" t="n">
        <v>0.016859202</v>
      </c>
      <c r="K26" s="15" t="n">
        <f aca="false">MIN(ABS(F26-$B$7), ABS(F26-180-$B$7), ABS(F26+180-$B$7))</f>
        <v>85.737272727</v>
      </c>
    </row>
    <row r="27" customFormat="false" ht="14.25" hidden="false" customHeight="false" outlineLevel="0" collapsed="false">
      <c r="F27" s="18" t="n">
        <v>-8.181818182</v>
      </c>
      <c r="G27" s="18" t="n">
        <v>0.003973018</v>
      </c>
      <c r="H27" s="28" t="n">
        <v>0.016859202</v>
      </c>
      <c r="K27" s="15" t="n">
        <f aca="false">MIN(ABS(F27-$B$7), ABS(F27-180-$B$7), ABS(F27+180-$B$7))</f>
        <v>89.828181818</v>
      </c>
    </row>
    <row r="28" customFormat="false" ht="14.25" hidden="false" customHeight="false" outlineLevel="0" collapsed="false">
      <c r="F28" s="18" t="n">
        <v>-4.090909091</v>
      </c>
      <c r="G28" s="18" t="n">
        <v>0.003691572</v>
      </c>
      <c r="H28" s="28" t="n">
        <v>0.016859202</v>
      </c>
      <c r="K28" s="15" t="n">
        <f aca="false">MIN(ABS(F28-$B$7), ABS(F28-180-$B$7), ABS(F28+180-$B$7))</f>
        <v>86.080909091</v>
      </c>
    </row>
    <row r="29" customFormat="false" ht="14.25" hidden="false" customHeight="false" outlineLevel="0" collapsed="false">
      <c r="F29" s="18" t="n">
        <v>0</v>
      </c>
      <c r="G29" s="18" t="n">
        <v>0.004846563</v>
      </c>
      <c r="H29" s="28" t="n">
        <v>0.016859202</v>
      </c>
      <c r="K29" s="15" t="n">
        <f aca="false">MIN(ABS(F29-$B$7), ABS(F29-180-$B$7), ABS(F29+180-$B$7))</f>
        <v>81.99</v>
      </c>
    </row>
    <row r="30" customFormat="false" ht="14.25" hidden="false" customHeight="false" outlineLevel="0" collapsed="false">
      <c r="F30" s="18" t="n">
        <v>4.090909091</v>
      </c>
      <c r="G30" s="18" t="n">
        <v>0.003643466</v>
      </c>
      <c r="H30" s="28" t="n">
        <v>0.016859202</v>
      </c>
      <c r="K30" s="15" t="n">
        <f aca="false">MIN(ABS(F30-$B$7), ABS(F30-180-$B$7), ABS(F30+180-$B$7))</f>
        <v>77.899090909</v>
      </c>
    </row>
    <row r="31" customFormat="false" ht="14.25" hidden="false" customHeight="false" outlineLevel="0" collapsed="false">
      <c r="F31" s="18" t="n">
        <v>8.181818182</v>
      </c>
      <c r="G31" s="18" t="n">
        <v>0.005383205</v>
      </c>
      <c r="H31" s="28" t="n">
        <v>0.016859202</v>
      </c>
      <c r="K31" s="15" t="n">
        <f aca="false">MIN(ABS(F31-$B$7), ABS(F31-180-$B$7), ABS(F31+180-$B$7))</f>
        <v>73.808181818</v>
      </c>
    </row>
    <row r="32" customFormat="false" ht="14.25" hidden="false" customHeight="false" outlineLevel="0" collapsed="false">
      <c r="F32" s="18" t="n">
        <v>12.272727273</v>
      </c>
      <c r="G32" s="18" t="n">
        <v>0.004040824</v>
      </c>
      <c r="H32" s="28" t="n">
        <v>0.016859202</v>
      </c>
      <c r="K32" s="15" t="n">
        <f aca="false">MIN(ABS(F32-$B$7), ABS(F32-180-$B$7), ABS(F32+180-$B$7))</f>
        <v>69.717272727</v>
      </c>
    </row>
    <row r="33" customFormat="false" ht="14.25" hidden="false" customHeight="false" outlineLevel="0" collapsed="false">
      <c r="F33" s="18" t="n">
        <v>16.363636364</v>
      </c>
      <c r="G33" s="18" t="n">
        <v>0.004828604</v>
      </c>
      <c r="H33" s="28" t="n">
        <v>0.016859202</v>
      </c>
      <c r="K33" s="15" t="n">
        <f aca="false">MIN(ABS(F33-$B$7), ABS(F33-180-$B$7), ABS(F33+180-$B$7))</f>
        <v>65.626363636</v>
      </c>
    </row>
    <row r="34" customFormat="false" ht="14.25" hidden="false" customHeight="false" outlineLevel="0" collapsed="false">
      <c r="F34" s="18" t="n">
        <v>20.454545455</v>
      </c>
      <c r="G34" s="18" t="n">
        <v>0.004148358</v>
      </c>
      <c r="H34" s="28" t="n">
        <v>0.016859202</v>
      </c>
      <c r="K34" s="15" t="n">
        <f aca="false">MIN(ABS(F34-$B$7), ABS(F34-180-$B$7), ABS(F34+180-$B$7))</f>
        <v>61.535454545</v>
      </c>
    </row>
    <row r="35" customFormat="false" ht="14.25" hidden="false" customHeight="false" outlineLevel="0" collapsed="false">
      <c r="F35" s="18" t="n">
        <v>24.545454545</v>
      </c>
      <c r="G35" s="18" t="n">
        <v>0.004252274</v>
      </c>
      <c r="H35" s="28" t="n">
        <v>0.016859202</v>
      </c>
      <c r="K35" s="15" t="n">
        <f aca="false">MIN(ABS(F35-$B$7), ABS(F35-180-$B$7), ABS(F35+180-$B$7))</f>
        <v>57.444545455</v>
      </c>
    </row>
    <row r="36" customFormat="false" ht="14.25" hidden="false" customHeight="false" outlineLevel="0" collapsed="false">
      <c r="F36" s="18" t="n">
        <v>28.636363636</v>
      </c>
      <c r="G36" s="18" t="n">
        <v>0.004134888</v>
      </c>
      <c r="H36" s="28" t="n">
        <v>0.016859202</v>
      </c>
      <c r="K36" s="15" t="n">
        <f aca="false">MIN(ABS(F36-$B$7), ABS(F36-180-$B$7), ABS(F36+180-$B$7))</f>
        <v>53.353636364</v>
      </c>
    </row>
    <row r="37" customFormat="false" ht="14.25" hidden="false" customHeight="false" outlineLevel="0" collapsed="false">
      <c r="F37" s="18" t="n">
        <v>32.727272727</v>
      </c>
      <c r="G37" s="18" t="n">
        <v>0.00456774</v>
      </c>
      <c r="H37" s="28" t="n">
        <v>0.016859202</v>
      </c>
      <c r="K37" s="15" t="n">
        <f aca="false">MIN(ABS(F37-$B$7), ABS(F37-180-$B$7), ABS(F37+180-$B$7))</f>
        <v>49.262727273</v>
      </c>
    </row>
    <row r="38" customFormat="false" ht="14.25" hidden="false" customHeight="false" outlineLevel="0" collapsed="false">
      <c r="F38" s="18" t="n">
        <v>36.818181818</v>
      </c>
      <c r="G38" s="18" t="n">
        <v>0.006001245</v>
      </c>
      <c r="H38" s="28" t="n">
        <v>0.016859202</v>
      </c>
      <c r="K38" s="15" t="n">
        <f aca="false">MIN(ABS(F38-$B$7), ABS(F38-180-$B$7), ABS(F38+180-$B$7))</f>
        <v>45.171818182</v>
      </c>
    </row>
    <row r="39" customFormat="false" ht="14.25" hidden="false" customHeight="false" outlineLevel="0" collapsed="false">
      <c r="F39" s="18" t="n">
        <v>40.909090909</v>
      </c>
      <c r="G39" s="18" t="n">
        <v>0.006792922</v>
      </c>
      <c r="H39" s="28" t="n">
        <v>0.016859202</v>
      </c>
      <c r="K39" s="15" t="n">
        <f aca="false">MIN(ABS(F39-$B$7), ABS(F39-180-$B$7), ABS(F39+180-$B$7))</f>
        <v>41.080909091</v>
      </c>
    </row>
    <row r="40" customFormat="false" ht="14.25" hidden="false" customHeight="false" outlineLevel="0" collapsed="false">
      <c r="F40" s="18" t="n">
        <v>45</v>
      </c>
      <c r="G40" s="18" t="n">
        <v>0.008142338</v>
      </c>
      <c r="H40" s="28" t="n">
        <v>0.016859202</v>
      </c>
      <c r="K40" s="15" t="n">
        <f aca="false">MIN(ABS(F40-$B$7), ABS(F40-180-$B$7), ABS(F40+180-$B$7))</f>
        <v>36.99</v>
      </c>
    </row>
    <row r="41" customFormat="false" ht="14.25" hidden="false" customHeight="false" outlineLevel="0" collapsed="false">
      <c r="F41" s="18" t="n">
        <v>49.090909091</v>
      </c>
      <c r="G41" s="18" t="n">
        <v>0.009569673</v>
      </c>
      <c r="H41" s="28" t="n">
        <v>0.016859202</v>
      </c>
      <c r="K41" s="15" t="n">
        <f aca="false">MIN(ABS(F41-$B$7), ABS(F41-180-$B$7), ABS(F41+180-$B$7))</f>
        <v>32.899090909</v>
      </c>
    </row>
    <row r="42" customFormat="false" ht="14.25" hidden="false" customHeight="false" outlineLevel="0" collapsed="false">
      <c r="F42" s="18" t="n">
        <v>53.181818182</v>
      </c>
      <c r="G42" s="18" t="n">
        <v>0.010959924</v>
      </c>
      <c r="H42" s="28" t="n">
        <v>0.016859202</v>
      </c>
      <c r="K42" s="15" t="n">
        <f aca="false">MIN(ABS(F42-$B$7), ABS(F42-180-$B$7), ABS(F42+180-$B$7))</f>
        <v>28.808181818</v>
      </c>
    </row>
    <row r="43" customFormat="false" ht="14.25" hidden="false" customHeight="false" outlineLevel="0" collapsed="false">
      <c r="F43" s="18" t="n">
        <v>57.272727273</v>
      </c>
      <c r="G43" s="18" t="n">
        <v>0.01294318</v>
      </c>
      <c r="H43" s="28" t="n">
        <v>0.016859202</v>
      </c>
      <c r="K43" s="15" t="n">
        <f aca="false">MIN(ABS(F43-$B$7), ABS(F43-180-$B$7), ABS(F43+180-$B$7))</f>
        <v>24.717272727</v>
      </c>
    </row>
    <row r="44" customFormat="false" ht="14.25" hidden="false" customHeight="false" outlineLevel="0" collapsed="false">
      <c r="F44" s="18" t="n">
        <v>61.363636364</v>
      </c>
      <c r="G44" s="18" t="n">
        <v>0.015428663</v>
      </c>
      <c r="H44" s="28" t="n">
        <v>0.016859202</v>
      </c>
      <c r="K44" s="15" t="n">
        <f aca="false">MIN(ABS(F44-$B$7), ABS(F44-180-$B$7), ABS(F44+180-$B$7))</f>
        <v>20.626363636</v>
      </c>
    </row>
    <row r="45" customFormat="false" ht="14.25" hidden="false" customHeight="false" outlineLevel="0" collapsed="false">
      <c r="F45" s="18" t="n">
        <v>65.454545455</v>
      </c>
      <c r="G45" s="18" t="n">
        <v>0.020263788</v>
      </c>
      <c r="H45" s="28" t="n">
        <v>0.016859202</v>
      </c>
      <c r="K45" s="15" t="n">
        <f aca="false">MIN(ABS(F45-$B$7), ABS(F45-180-$B$7), ABS(F45+180-$B$7))</f>
        <v>16.535454545</v>
      </c>
    </row>
    <row r="46" customFormat="false" ht="14.25" hidden="false" customHeight="false" outlineLevel="0" collapsed="false">
      <c r="F46" s="18" t="n">
        <v>69.545454545</v>
      </c>
      <c r="G46" s="18" t="n">
        <v>0.028396313</v>
      </c>
      <c r="H46" s="28" t="n">
        <v>0.016859202</v>
      </c>
      <c r="K46" s="15" t="n">
        <f aca="false">MIN(ABS(F46-$B$7), ABS(F46-180-$B$7), ABS(F46+180-$B$7))</f>
        <v>12.444545455</v>
      </c>
    </row>
    <row r="47" customFormat="false" ht="14.25" hidden="false" customHeight="false" outlineLevel="0" collapsed="false">
      <c r="F47" s="18" t="n">
        <v>73.636363636</v>
      </c>
      <c r="G47" s="18" t="n">
        <v>0.035455077</v>
      </c>
      <c r="H47" s="28" t="n">
        <v>0.016859202</v>
      </c>
      <c r="K47" s="15" t="n">
        <f aca="false">MIN(ABS(F47-$B$7), ABS(F47-180-$B$7), ABS(F47+180-$B$7))</f>
        <v>8.353636364</v>
      </c>
    </row>
    <row r="48" customFormat="false" ht="14.25" hidden="false" customHeight="false" outlineLevel="0" collapsed="false">
      <c r="F48" s="18" t="n">
        <v>77.727272727</v>
      </c>
      <c r="G48" s="18" t="n">
        <v>0.053931944</v>
      </c>
      <c r="H48" s="28" t="n">
        <v>0.016859202</v>
      </c>
      <c r="K48" s="15" t="n">
        <f aca="false">MIN(ABS(F48-$B$7), ABS(F48-180-$B$7), ABS(F48+180-$B$7))</f>
        <v>4.262727273</v>
      </c>
    </row>
    <row r="49" s="19" customFormat="true" ht="14.25" hidden="false" customHeight="false" outlineLevel="0" collapsed="false">
      <c r="A49" s="1"/>
      <c r="B49" s="1"/>
      <c r="C49" s="1"/>
      <c r="D49" s="1"/>
      <c r="E49" s="1"/>
      <c r="F49" s="18" t="n">
        <v>81.818181818</v>
      </c>
      <c r="G49" s="18" t="n">
        <v>0.096139504</v>
      </c>
      <c r="H49" s="28" t="n">
        <v>0.016859202</v>
      </c>
      <c r="I49" s="1"/>
      <c r="J49" s="1"/>
      <c r="K49" s="15" t="n">
        <f aca="false">MIN(ABS(F49-$B$7), ABS(F49-180-$B$7), ABS(F49+180-$B$7))</f>
        <v>0.171818181999996</v>
      </c>
      <c r="L49" s="1"/>
      <c r="M49" s="1"/>
    </row>
    <row r="50" customFormat="false" ht="14.25" hidden="false" customHeight="false" outlineLevel="0" collapsed="false">
      <c r="F50" s="18" t="n">
        <v>85.909090909</v>
      </c>
      <c r="G50" s="18" t="n">
        <v>0.10306777</v>
      </c>
      <c r="H50" s="28" t="n">
        <v>0.016859202</v>
      </c>
      <c r="K50" s="15" t="n">
        <f aca="false">MIN(ABS(F50-$B$7), ABS(F50-180-$B$7), ABS(F50+180-$B$7))</f>
        <v>3.91909090900001</v>
      </c>
    </row>
    <row r="51" customFormat="false" ht="14.25" hidden="false" customHeight="false" outlineLevel="0" collapsed="false">
      <c r="A51" s="19"/>
      <c r="B51" s="19"/>
      <c r="C51" s="19"/>
      <c r="D51" s="19"/>
      <c r="E51" s="19"/>
      <c r="F51" s="32" t="n">
        <v>90</v>
      </c>
      <c r="G51" s="32" t="n">
        <v>0.104578426</v>
      </c>
      <c r="H51" s="33" t="n">
        <v>0.016859202</v>
      </c>
      <c r="I51" s="19"/>
      <c r="J51" s="19"/>
      <c r="K51" s="15" t="n">
        <f aca="false">MIN(ABS(F51-$B$7), ABS(F51-180-$B$7), ABS(F51+180-$B$7))</f>
        <v>8.01000000000001</v>
      </c>
      <c r="L51" s="19"/>
      <c r="M51" s="19"/>
    </row>
    <row r="52" customFormat="false" ht="14.25" hidden="false" customHeight="false" outlineLevel="0" collapsed="false">
      <c r="A52" s="14" t="n">
        <v>20241115</v>
      </c>
      <c r="B52" s="14" t="n">
        <v>86.12</v>
      </c>
      <c r="C52" s="14" t="n">
        <v>6.24</v>
      </c>
      <c r="D52" s="14" t="n">
        <v>0.4</v>
      </c>
      <c r="E52" s="14" t="n">
        <v>0.57</v>
      </c>
      <c r="F52" s="18" t="n">
        <v>-90</v>
      </c>
      <c r="G52" s="18" t="n">
        <v>0.103087187</v>
      </c>
      <c r="H52" s="28" t="n">
        <v>0.014158587</v>
      </c>
      <c r="K52" s="15" t="n">
        <f aca="false">MIN(ABS(F52-$B$52), ABS(F52-180-$B$52), ABS(F52+180-$B$52))</f>
        <v>3.88</v>
      </c>
      <c r="L52" s="16" t="n">
        <f aca="false" t="array" ref="L52:L52">SQRT(SUMPRODUCT(G52:G96,K52:K96*K52:K96))</f>
        <v>23.477624898702</v>
      </c>
      <c r="M52" s="3" t="n">
        <f aca="false" t="array" ref="M52:M52">SUMPRODUCT(G52:G96,ABS(K52:K96))</f>
        <v>14.8299021573975</v>
      </c>
    </row>
    <row r="53" customFormat="false" ht="14.25" hidden="false" customHeight="false" outlineLevel="0" collapsed="false">
      <c r="F53" s="18" t="n">
        <v>-85.909090909</v>
      </c>
      <c r="G53" s="18" t="n">
        <v>0.071467638</v>
      </c>
      <c r="H53" s="28" t="n">
        <v>0.014158587</v>
      </c>
      <c r="K53" s="15" t="n">
        <f aca="false">MIN(ABS(F53-$B$52), ABS(F53-180-$B$52), ABS(F53+180-$B$52))</f>
        <v>7.970909091</v>
      </c>
    </row>
    <row r="54" customFormat="false" ht="14.25" hidden="false" customHeight="false" outlineLevel="0" collapsed="false">
      <c r="F54" s="18" t="n">
        <v>-81.818181818</v>
      </c>
      <c r="G54" s="18" t="n">
        <v>0.061845587</v>
      </c>
      <c r="H54" s="28" t="n">
        <v>0.014158587</v>
      </c>
      <c r="K54" s="15" t="n">
        <f aca="false">MIN(ABS(F54-$B$52), ABS(F54-180-$B$52), ABS(F54+180-$B$52))</f>
        <v>12.061818182</v>
      </c>
    </row>
    <row r="55" customFormat="false" ht="14.25" hidden="false" customHeight="false" outlineLevel="0" collapsed="false">
      <c r="F55" s="18" t="n">
        <v>-77.727272727</v>
      </c>
      <c r="G55" s="18" t="n">
        <v>0.051043138</v>
      </c>
      <c r="H55" s="28" t="n">
        <v>0.014158587</v>
      </c>
      <c r="K55" s="15" t="n">
        <f aca="false">MIN(ABS(F55-$B$52), ABS(F55-180-$B$52), ABS(F55+180-$B$52))</f>
        <v>16.152727273</v>
      </c>
      <c r="L55" s="1" t="n">
        <f aca="false">C52/L52</f>
        <v>0.265784977267653</v>
      </c>
    </row>
    <row r="56" customFormat="false" ht="14.25" hidden="false" customHeight="false" outlineLevel="0" collapsed="false">
      <c r="F56" s="18" t="n">
        <v>-73.636363636</v>
      </c>
      <c r="G56" s="18" t="n">
        <v>0.046034195</v>
      </c>
      <c r="H56" s="28" t="n">
        <v>0.014158587</v>
      </c>
      <c r="K56" s="15" t="n">
        <f aca="false">MIN(ABS(F56-$B$52), ABS(F56-180-$B$52), ABS(F56+180-$B$52))</f>
        <v>20.243636364</v>
      </c>
    </row>
    <row r="57" customFormat="false" ht="14.25" hidden="false" customHeight="false" outlineLevel="0" collapsed="false">
      <c r="F57" s="18" t="n">
        <v>-69.545454545</v>
      </c>
      <c r="G57" s="18" t="n">
        <v>0.023841478</v>
      </c>
      <c r="H57" s="28" t="n">
        <v>0.014158587</v>
      </c>
      <c r="K57" s="15" t="n">
        <f aca="false">MIN(ABS(F57-$B$52), ABS(F57-180-$B$52), ABS(F57+180-$B$52))</f>
        <v>24.334545455</v>
      </c>
    </row>
    <row r="58" customFormat="false" ht="14.25" hidden="false" customHeight="false" outlineLevel="0" collapsed="false">
      <c r="F58" s="18" t="n">
        <v>-65.454545455</v>
      </c>
      <c r="G58" s="18" t="n">
        <v>0.014564324</v>
      </c>
      <c r="H58" s="28" t="n">
        <v>0.014158587</v>
      </c>
      <c r="K58" s="15" t="n">
        <f aca="false">MIN(ABS(F58-$B$52), ABS(F58-180-$B$52), ABS(F58+180-$B$52))</f>
        <v>28.425454545</v>
      </c>
    </row>
    <row r="59" customFormat="false" ht="14.25" hidden="false" customHeight="false" outlineLevel="0" collapsed="false">
      <c r="F59" s="18" t="n">
        <v>-61.363636364</v>
      </c>
      <c r="G59" s="18" t="n">
        <v>0.010409082</v>
      </c>
      <c r="H59" s="28" t="n">
        <v>0.014158587</v>
      </c>
      <c r="K59" s="15" t="n">
        <f aca="false">MIN(ABS(F59-$B$52), ABS(F59-180-$B$52), ABS(F59+180-$B$52))</f>
        <v>32.516363636</v>
      </c>
    </row>
    <row r="60" customFormat="false" ht="14.25" hidden="false" customHeight="false" outlineLevel="0" collapsed="false">
      <c r="F60" s="18" t="n">
        <v>-57.272727273</v>
      </c>
      <c r="G60" s="18" t="n">
        <v>0.007927231</v>
      </c>
      <c r="H60" s="28" t="n">
        <v>0.014158587</v>
      </c>
      <c r="K60" s="15" t="n">
        <f aca="false">MIN(ABS(F60-$B$52), ABS(F60-180-$B$52), ABS(F60+180-$B$52))</f>
        <v>36.607272727</v>
      </c>
    </row>
    <row r="61" customFormat="false" ht="14.25" hidden="false" customHeight="false" outlineLevel="0" collapsed="false">
      <c r="F61" s="18" t="n">
        <v>-53.181818182</v>
      </c>
      <c r="G61" s="18" t="n">
        <v>0.007410891</v>
      </c>
      <c r="H61" s="28" t="n">
        <v>0.014158587</v>
      </c>
      <c r="K61" s="15" t="n">
        <f aca="false">MIN(ABS(F61-$B$52), ABS(F61-180-$B$52), ABS(F61+180-$B$52))</f>
        <v>40.698181818</v>
      </c>
    </row>
    <row r="62" customFormat="false" ht="14.25" hidden="false" customHeight="false" outlineLevel="0" collapsed="false">
      <c r="F62" s="18" t="n">
        <v>-49.090909091</v>
      </c>
      <c r="G62" s="18" t="n">
        <v>0.005825276</v>
      </c>
      <c r="H62" s="28" t="n">
        <v>0.014158587</v>
      </c>
      <c r="K62" s="15" t="n">
        <f aca="false">MIN(ABS(F62-$B$52), ABS(F62-180-$B$52), ABS(F62+180-$B$52))</f>
        <v>44.789090909</v>
      </c>
    </row>
    <row r="63" customFormat="false" ht="14.25" hidden="false" customHeight="false" outlineLevel="0" collapsed="false">
      <c r="F63" s="18" t="n">
        <v>-45</v>
      </c>
      <c r="G63" s="18" t="n">
        <v>0.00528068</v>
      </c>
      <c r="H63" s="28" t="n">
        <v>0.014158587</v>
      </c>
      <c r="K63" s="15" t="n">
        <f aca="false">MIN(ABS(F63-$B$52), ABS(F63-180-$B$52), ABS(F63+180-$B$52))</f>
        <v>48.88</v>
      </c>
    </row>
    <row r="64" customFormat="false" ht="14.25" hidden="false" customHeight="false" outlineLevel="0" collapsed="false">
      <c r="F64" s="18" t="n">
        <v>-40.909090909</v>
      </c>
      <c r="G64" s="18" t="n">
        <v>0.004668097</v>
      </c>
      <c r="H64" s="28" t="n">
        <v>0.014158587</v>
      </c>
      <c r="K64" s="15" t="n">
        <f aca="false">MIN(ABS(F64-$B$52), ABS(F64-180-$B$52), ABS(F64+180-$B$52))</f>
        <v>52.970909091</v>
      </c>
    </row>
    <row r="65" customFormat="false" ht="14.25" hidden="false" customHeight="false" outlineLevel="0" collapsed="false">
      <c r="F65" s="18" t="n">
        <v>-36.818181818</v>
      </c>
      <c r="G65" s="18" t="n">
        <v>0.004022268</v>
      </c>
      <c r="H65" s="28" t="n">
        <v>0.014158587</v>
      </c>
      <c r="K65" s="15" t="n">
        <f aca="false">MIN(ABS(F65-$B$52), ABS(F65-180-$B$52), ABS(F65+180-$B$52))</f>
        <v>57.061818182</v>
      </c>
    </row>
    <row r="66" customFormat="false" ht="14.25" hidden="false" customHeight="false" outlineLevel="0" collapsed="false">
      <c r="F66" s="18" t="n">
        <v>-32.727272727</v>
      </c>
      <c r="G66" s="18" t="n">
        <v>0.003370475</v>
      </c>
      <c r="H66" s="28" t="n">
        <v>0.014158587</v>
      </c>
      <c r="K66" s="15" t="n">
        <f aca="false">MIN(ABS(F66-$B$52), ABS(F66-180-$B$52), ABS(F66+180-$B$52))</f>
        <v>61.152727273</v>
      </c>
    </row>
    <row r="67" customFormat="false" ht="14.25" hidden="false" customHeight="false" outlineLevel="0" collapsed="false">
      <c r="F67" s="18" t="n">
        <v>-28.636363636</v>
      </c>
      <c r="G67" s="18" t="n">
        <v>0.003436751</v>
      </c>
      <c r="H67" s="28" t="n">
        <v>0.014158587</v>
      </c>
      <c r="K67" s="15" t="n">
        <f aca="false">MIN(ABS(F67-$B$52), ABS(F67-180-$B$52), ABS(F67+180-$B$52))</f>
        <v>65.243636364</v>
      </c>
    </row>
    <row r="68" customFormat="false" ht="14.25" hidden="false" customHeight="false" outlineLevel="0" collapsed="false">
      <c r="F68" s="18" t="n">
        <v>-24.545454545</v>
      </c>
      <c r="G68" s="18" t="n">
        <v>0.003592273</v>
      </c>
      <c r="H68" s="28" t="n">
        <v>0.014158587</v>
      </c>
      <c r="K68" s="15" t="n">
        <f aca="false">MIN(ABS(F68-$B$52), ABS(F68-180-$B$52), ABS(F68+180-$B$52))</f>
        <v>69.334545455</v>
      </c>
    </row>
    <row r="69" customFormat="false" ht="14.25" hidden="false" customHeight="false" outlineLevel="0" collapsed="false">
      <c r="F69" s="18" t="n">
        <v>-20.454545455</v>
      </c>
      <c r="G69" s="18" t="n">
        <v>0.003280132</v>
      </c>
      <c r="H69" s="28" t="n">
        <v>0.014158587</v>
      </c>
      <c r="K69" s="15" t="n">
        <f aca="false">MIN(ABS(F69-$B$52), ABS(F69-180-$B$52), ABS(F69+180-$B$52))</f>
        <v>73.425454545</v>
      </c>
    </row>
    <row r="70" customFormat="false" ht="14.25" hidden="false" customHeight="false" outlineLevel="0" collapsed="false">
      <c r="F70" s="18" t="n">
        <v>-16.363636364</v>
      </c>
      <c r="G70" s="18" t="n">
        <v>0.003279696</v>
      </c>
      <c r="H70" s="28" t="n">
        <v>0.014158587</v>
      </c>
      <c r="K70" s="15" t="n">
        <f aca="false">MIN(ABS(F70-$B$52), ABS(F70-180-$B$52), ABS(F70+180-$B$52))</f>
        <v>77.516363636</v>
      </c>
    </row>
    <row r="71" customFormat="false" ht="14.25" hidden="false" customHeight="false" outlineLevel="0" collapsed="false">
      <c r="F71" s="18" t="n">
        <v>-12.272727273</v>
      </c>
      <c r="G71" s="18" t="n">
        <v>0.003163598</v>
      </c>
      <c r="H71" s="28" t="n">
        <v>0.014158587</v>
      </c>
      <c r="K71" s="15" t="n">
        <f aca="false">MIN(ABS(F71-$B$52), ABS(F71-180-$B$52), ABS(F71+180-$B$52))</f>
        <v>81.607272727</v>
      </c>
    </row>
    <row r="72" customFormat="false" ht="14.25" hidden="false" customHeight="false" outlineLevel="0" collapsed="false">
      <c r="F72" s="18" t="n">
        <v>-8.181818182</v>
      </c>
      <c r="G72" s="18" t="n">
        <v>0.003103932</v>
      </c>
      <c r="H72" s="28" t="n">
        <v>0.014158587</v>
      </c>
      <c r="K72" s="15" t="n">
        <f aca="false">MIN(ABS(F72-$B$52), ABS(F72-180-$B$52), ABS(F72+180-$B$52))</f>
        <v>85.698181818</v>
      </c>
    </row>
    <row r="73" customFormat="false" ht="14.25" hidden="false" customHeight="false" outlineLevel="0" collapsed="false">
      <c r="F73" s="18" t="n">
        <v>-4.090909091</v>
      </c>
      <c r="G73" s="18" t="n">
        <v>0.002718233</v>
      </c>
      <c r="H73" s="28" t="n">
        <v>0.014158587</v>
      </c>
      <c r="K73" s="15" t="n">
        <f aca="false">MIN(ABS(F73-$B$52), ABS(F73-180-$B$52), ABS(F73+180-$B$52))</f>
        <v>89.789090909</v>
      </c>
    </row>
    <row r="74" customFormat="false" ht="14.25" hidden="false" customHeight="false" outlineLevel="0" collapsed="false">
      <c r="F74" s="18" t="n">
        <v>0</v>
      </c>
      <c r="G74" s="18" t="n">
        <v>0.003540489</v>
      </c>
      <c r="H74" s="28" t="n">
        <v>0.014158587</v>
      </c>
      <c r="K74" s="15" t="n">
        <f aca="false">MIN(ABS(F74-$B$52), ABS(F74-180-$B$52), ABS(F74+180-$B$52))</f>
        <v>86.12</v>
      </c>
    </row>
    <row r="75" customFormat="false" ht="14.25" hidden="false" customHeight="false" outlineLevel="0" collapsed="false">
      <c r="F75" s="18" t="n">
        <v>4.090909091</v>
      </c>
      <c r="G75" s="18" t="n">
        <v>0.003208616</v>
      </c>
      <c r="H75" s="28" t="n">
        <v>0.014158587</v>
      </c>
      <c r="K75" s="15" t="n">
        <f aca="false">MIN(ABS(F75-$B$52), ABS(F75-180-$B$52), ABS(F75+180-$B$52))</f>
        <v>82.029090909</v>
      </c>
    </row>
    <row r="76" customFormat="false" ht="14.25" hidden="false" customHeight="false" outlineLevel="0" collapsed="false">
      <c r="F76" s="18" t="n">
        <v>8.181818182</v>
      </c>
      <c r="G76" s="18" t="n">
        <v>0.003482135</v>
      </c>
      <c r="H76" s="28" t="n">
        <v>0.014158587</v>
      </c>
      <c r="K76" s="15" t="n">
        <f aca="false">MIN(ABS(F76-$B$52), ABS(F76-180-$B$52), ABS(F76+180-$B$52))</f>
        <v>77.938181818</v>
      </c>
    </row>
    <row r="77" customFormat="false" ht="14.25" hidden="false" customHeight="false" outlineLevel="0" collapsed="false">
      <c r="F77" s="18" t="n">
        <v>12.272727273</v>
      </c>
      <c r="G77" s="18" t="n">
        <v>0.003794103</v>
      </c>
      <c r="H77" s="28" t="n">
        <v>0.014158587</v>
      </c>
      <c r="K77" s="15" t="n">
        <f aca="false">MIN(ABS(F77-$B$52), ABS(F77-180-$B$52), ABS(F77+180-$B$52))</f>
        <v>73.847272727</v>
      </c>
    </row>
    <row r="78" customFormat="false" ht="14.25" hidden="false" customHeight="false" outlineLevel="0" collapsed="false">
      <c r="F78" s="18" t="n">
        <v>16.363636364</v>
      </c>
      <c r="G78" s="18" t="n">
        <v>0.00337478</v>
      </c>
      <c r="H78" s="28" t="n">
        <v>0.014158587</v>
      </c>
      <c r="K78" s="15" t="n">
        <f aca="false">MIN(ABS(F78-$B$52), ABS(F78-180-$B$52), ABS(F78+180-$B$52))</f>
        <v>69.756363636</v>
      </c>
    </row>
    <row r="79" customFormat="false" ht="14.25" hidden="false" customHeight="false" outlineLevel="0" collapsed="false">
      <c r="F79" s="18" t="n">
        <v>20.454545455</v>
      </c>
      <c r="G79" s="18" t="n">
        <v>0.003252263</v>
      </c>
      <c r="H79" s="28" t="n">
        <v>0.014158587</v>
      </c>
      <c r="K79" s="15" t="n">
        <f aca="false">MIN(ABS(F79-$B$52), ABS(F79-180-$B$52), ABS(F79+180-$B$52))</f>
        <v>65.665454545</v>
      </c>
    </row>
    <row r="80" customFormat="false" ht="14.25" hidden="false" customHeight="false" outlineLevel="0" collapsed="false">
      <c r="F80" s="18" t="n">
        <v>24.545454545</v>
      </c>
      <c r="G80" s="18" t="n">
        <v>0.003419469</v>
      </c>
      <c r="H80" s="28" t="n">
        <v>0.014158587</v>
      </c>
      <c r="K80" s="15" t="n">
        <f aca="false">MIN(ABS(F80-$B$52), ABS(F80-180-$B$52), ABS(F80+180-$B$52))</f>
        <v>61.574545455</v>
      </c>
    </row>
    <row r="81" customFormat="false" ht="14.25" hidden="false" customHeight="false" outlineLevel="0" collapsed="false">
      <c r="F81" s="18" t="n">
        <v>28.636363636</v>
      </c>
      <c r="G81" s="18" t="n">
        <v>0.003257519</v>
      </c>
      <c r="H81" s="28" t="n">
        <v>0.014158587</v>
      </c>
      <c r="K81" s="15" t="n">
        <f aca="false">MIN(ABS(F81-$B$52), ABS(F81-180-$B$52), ABS(F81+180-$B$52))</f>
        <v>57.483636364</v>
      </c>
    </row>
    <row r="82" customFormat="false" ht="14.25" hidden="false" customHeight="false" outlineLevel="0" collapsed="false">
      <c r="F82" s="18" t="n">
        <v>32.727272727</v>
      </c>
      <c r="G82" s="18" t="n">
        <v>0.003416764</v>
      </c>
      <c r="H82" s="28" t="n">
        <v>0.014158587</v>
      </c>
      <c r="K82" s="15" t="n">
        <f aca="false">MIN(ABS(F82-$B$52), ABS(F82-180-$B$52), ABS(F82+180-$B$52))</f>
        <v>53.392727273</v>
      </c>
    </row>
    <row r="83" customFormat="false" ht="14.25" hidden="false" customHeight="false" outlineLevel="0" collapsed="false">
      <c r="F83" s="18" t="n">
        <v>36.818181818</v>
      </c>
      <c r="G83" s="18" t="n">
        <v>0.00457213</v>
      </c>
      <c r="H83" s="28" t="n">
        <v>0.014158587</v>
      </c>
      <c r="K83" s="15" t="n">
        <f aca="false">MIN(ABS(F83-$B$52), ABS(F83-180-$B$52), ABS(F83+180-$B$52))</f>
        <v>49.301818182</v>
      </c>
    </row>
    <row r="84" customFormat="false" ht="14.25" hidden="false" customHeight="false" outlineLevel="0" collapsed="false">
      <c r="F84" s="18" t="n">
        <v>40.909090909</v>
      </c>
      <c r="G84" s="18" t="n">
        <v>0.004816731</v>
      </c>
      <c r="H84" s="28" t="n">
        <v>0.014158587</v>
      </c>
      <c r="K84" s="15" t="n">
        <f aca="false">MIN(ABS(F84-$B$52), ABS(F84-180-$B$52), ABS(F84+180-$B$52))</f>
        <v>45.210909091</v>
      </c>
    </row>
    <row r="85" customFormat="false" ht="14.25" hidden="false" customHeight="false" outlineLevel="0" collapsed="false">
      <c r="F85" s="18" t="n">
        <v>45</v>
      </c>
      <c r="G85" s="18" t="n">
        <v>0.005953028</v>
      </c>
      <c r="H85" s="28" t="n">
        <v>0.014158587</v>
      </c>
      <c r="K85" s="15" t="n">
        <f aca="false">MIN(ABS(F85-$B$52), ABS(F85-180-$B$52), ABS(F85+180-$B$52))</f>
        <v>41.12</v>
      </c>
    </row>
    <row r="86" customFormat="false" ht="14.25" hidden="false" customHeight="false" outlineLevel="0" collapsed="false">
      <c r="F86" s="18" t="n">
        <v>49.090909091</v>
      </c>
      <c r="G86" s="18" t="n">
        <v>0.00668137</v>
      </c>
      <c r="H86" s="28" t="n">
        <v>0.014158589</v>
      </c>
      <c r="K86" s="15" t="n">
        <f aca="false">MIN(ABS(F86-$B$52), ABS(F86-180-$B$52), ABS(F86+180-$B$52))</f>
        <v>37.029090909</v>
      </c>
    </row>
    <row r="87" customFormat="false" ht="14.25" hidden="false" customHeight="false" outlineLevel="0" collapsed="false">
      <c r="F87" s="18" t="n">
        <v>53.181818182</v>
      </c>
      <c r="G87" s="18" t="n">
        <v>0.008422224</v>
      </c>
      <c r="H87" s="28" t="n">
        <v>0.014158687</v>
      </c>
      <c r="K87" s="15" t="n">
        <f aca="false">MIN(ABS(F87-$B$52), ABS(F87-180-$B$52), ABS(F87+180-$B$52))</f>
        <v>32.938181818</v>
      </c>
    </row>
    <row r="88" customFormat="false" ht="14.25" hidden="false" customHeight="false" outlineLevel="0" collapsed="false">
      <c r="F88" s="18" t="n">
        <v>57.272727273</v>
      </c>
      <c r="G88" s="18" t="n">
        <v>0.010781273</v>
      </c>
      <c r="H88" s="28" t="n">
        <v>0.014161171</v>
      </c>
      <c r="K88" s="15" t="n">
        <f aca="false">MIN(ABS(F88-$B$52), ABS(F88-180-$B$52), ABS(F88+180-$B$52))</f>
        <v>28.847272727</v>
      </c>
    </row>
    <row r="89" customFormat="false" ht="14.25" hidden="false" customHeight="false" outlineLevel="0" collapsed="false">
      <c r="F89" s="18" t="n">
        <v>61.363636364</v>
      </c>
      <c r="G89" s="18" t="n">
        <v>0.012232174</v>
      </c>
      <c r="H89" s="28" t="n">
        <v>0.014201877</v>
      </c>
      <c r="K89" s="15" t="n">
        <f aca="false">MIN(ABS(F89-$B$52), ABS(F89-180-$B$52), ABS(F89+180-$B$52))</f>
        <v>24.756363636</v>
      </c>
    </row>
    <row r="90" customFormat="false" ht="14.25" hidden="false" customHeight="false" outlineLevel="0" collapsed="false">
      <c r="F90" s="18" t="n">
        <v>65.454545455</v>
      </c>
      <c r="G90" s="18" t="n">
        <v>0.01580201</v>
      </c>
      <c r="H90" s="28" t="n">
        <v>0.014630136</v>
      </c>
      <c r="K90" s="15" t="n">
        <f aca="false">MIN(ABS(F90-$B$52), ABS(F90-180-$B$52), ABS(F90+180-$B$52))</f>
        <v>20.665454545</v>
      </c>
    </row>
    <row r="91" customFormat="false" ht="14.25" hidden="false" customHeight="false" outlineLevel="0" collapsed="false">
      <c r="F91" s="18" t="n">
        <v>69.545454545</v>
      </c>
      <c r="G91" s="18" t="n">
        <v>0.024296998</v>
      </c>
      <c r="H91" s="28" t="n">
        <v>0.017499007</v>
      </c>
      <c r="K91" s="15" t="n">
        <f aca="false">MIN(ABS(F91-$B$52), ABS(F91-180-$B$52), ABS(F91+180-$B$52))</f>
        <v>16.574545455</v>
      </c>
    </row>
    <row r="92" customFormat="false" ht="14.25" hidden="false" customHeight="false" outlineLevel="0" collapsed="false">
      <c r="F92" s="18" t="n">
        <v>73.636363636</v>
      </c>
      <c r="G92" s="18" t="n">
        <v>0.035556725</v>
      </c>
      <c r="H92" s="28" t="n">
        <v>0.029547823</v>
      </c>
      <c r="K92" s="15" t="n">
        <f aca="false">MIN(ABS(F92-$B$52), ABS(F92-180-$B$52), ABS(F92+180-$B$52))</f>
        <v>12.483636364</v>
      </c>
    </row>
    <row r="93" customFormat="false" ht="14.25" hidden="false" customHeight="false" outlineLevel="0" collapsed="false">
      <c r="F93" s="18" t="n">
        <v>77.727272727</v>
      </c>
      <c r="G93" s="18" t="n">
        <v>0.061162836</v>
      </c>
      <c r="H93" s="28" t="n">
        <v>0.060266465</v>
      </c>
      <c r="K93" s="15" t="n">
        <f aca="false">MIN(ABS(F93-$B$52), ABS(F93-180-$B$52), ABS(F93+180-$B$52))</f>
        <v>8.39272727300001</v>
      </c>
    </row>
    <row r="94" s="19" customFormat="true" ht="14.25" hidden="false" customHeight="false" outlineLevel="0" collapsed="false">
      <c r="A94" s="1"/>
      <c r="B94" s="1"/>
      <c r="C94" s="1"/>
      <c r="D94" s="1"/>
      <c r="E94" s="1"/>
      <c r="F94" s="18" t="n">
        <v>81.818181818</v>
      </c>
      <c r="G94" s="18" t="n">
        <v>0.093847145</v>
      </c>
      <c r="H94" s="28" t="n">
        <v>0.103999738</v>
      </c>
      <c r="I94" s="1"/>
      <c r="J94" s="1"/>
      <c r="K94" s="15" t="n">
        <f aca="false">MIN(ABS(F94-$B$52), ABS(F94-180-$B$52), ABS(F94+180-$B$52))</f>
        <v>4.30181818200001</v>
      </c>
      <c r="L94" s="1"/>
      <c r="M94" s="1"/>
    </row>
    <row r="95" customFormat="false" ht="14.25" hidden="false" customHeight="false" outlineLevel="0" collapsed="false">
      <c r="F95" s="18" t="n">
        <v>85.909090909</v>
      </c>
      <c r="G95" s="18" t="n">
        <v>0.138669871</v>
      </c>
      <c r="H95" s="28" t="n">
        <v>0.128004544</v>
      </c>
      <c r="K95" s="15" t="n">
        <f aca="false">MIN(ABS(F95-$B$52), ABS(F95-180-$B$52), ABS(F95+180-$B$52))</f>
        <v>0.210909091000005</v>
      </c>
    </row>
    <row r="96" customFormat="false" ht="14.25" hidden="false" customHeight="false" outlineLevel="0" collapsed="false">
      <c r="A96" s="19"/>
      <c r="B96" s="19"/>
      <c r="C96" s="19"/>
      <c r="D96" s="19"/>
      <c r="E96" s="19"/>
      <c r="F96" s="32" t="n">
        <v>90</v>
      </c>
      <c r="G96" s="32" t="n">
        <v>0.103087187</v>
      </c>
      <c r="H96" s="33" t="n">
        <v>0.107980014</v>
      </c>
      <c r="I96" s="19"/>
      <c r="J96" s="19"/>
      <c r="K96" s="15" t="n">
        <f aca="false">MIN(ABS(F96-$B$52), ABS(F96-180-$B$52), ABS(F96+180-$B$52))</f>
        <v>3.88</v>
      </c>
      <c r="L96" s="19"/>
      <c r="M96" s="19"/>
    </row>
    <row r="97" customFormat="false" ht="14.25" hidden="false" customHeight="false" outlineLevel="0" collapsed="false">
      <c r="A97" s="14" t="n">
        <v>20241115</v>
      </c>
      <c r="B97" s="14" t="n">
        <v>86.43</v>
      </c>
      <c r="C97" s="14" t="n">
        <v>7.08</v>
      </c>
      <c r="D97" s="14" t="n">
        <v>0.43</v>
      </c>
      <c r="E97" s="14" t="n">
        <v>0.44</v>
      </c>
      <c r="F97" s="18" t="n">
        <v>-90</v>
      </c>
      <c r="G97" s="18" t="n">
        <v>0.117437649</v>
      </c>
      <c r="H97" s="28" t="n">
        <v>0.014041545</v>
      </c>
      <c r="K97" s="15" t="n">
        <f aca="false">MIN(ABS(F97-$B$97), ABS(F97-180-$B$97), ABS(F97+180-$B$97))</f>
        <v>3.56999999999999</v>
      </c>
      <c r="L97" s="16" t="n">
        <f aca="false" t="array" ref="L97:L97">SQRT(SUMPRODUCT(G97:G141,K97:K141*K97:K141))</f>
        <v>21.5878897288</v>
      </c>
      <c r="M97" s="3" t="n">
        <f aca="false" t="array" ref="M97:M97">SUMPRODUCT(G97:G141,ABS(K97:K141))</f>
        <v>13.3717254203135</v>
      </c>
    </row>
    <row r="98" customFormat="false" ht="14.25" hidden="false" customHeight="false" outlineLevel="0" collapsed="false">
      <c r="F98" s="18" t="n">
        <v>-85.909090909</v>
      </c>
      <c r="G98" s="18" t="n">
        <v>0.108166034</v>
      </c>
      <c r="H98" s="28" t="n">
        <v>0.014041545</v>
      </c>
      <c r="K98" s="15" t="n">
        <f aca="false">MIN(ABS(F98-$B$97), ABS(F98-180-$B$97), ABS(F98+180-$B$97))</f>
        <v>7.66090909099999</v>
      </c>
    </row>
    <row r="99" customFormat="false" ht="14.25" hidden="false" customHeight="false" outlineLevel="0" collapsed="false">
      <c r="F99" s="18" t="n">
        <v>-81.818181818</v>
      </c>
      <c r="G99" s="18" t="n">
        <v>0.070670554</v>
      </c>
      <c r="H99" s="28" t="n">
        <v>0.014041545</v>
      </c>
      <c r="K99" s="15" t="n">
        <f aca="false">MIN(ABS(F99-$B$97), ABS(F99-180-$B$97), ABS(F99+180-$B$97))</f>
        <v>11.751818182</v>
      </c>
    </row>
    <row r="100" customFormat="false" ht="14.25" hidden="false" customHeight="false" outlineLevel="0" collapsed="false">
      <c r="F100" s="18" t="n">
        <v>-77.727272727</v>
      </c>
      <c r="G100" s="18" t="n">
        <v>0.04928777</v>
      </c>
      <c r="H100" s="28" t="n">
        <v>0.014041545</v>
      </c>
      <c r="K100" s="15" t="n">
        <f aca="false">MIN(ABS(F100-$B$97), ABS(F100-180-$B$97), ABS(F100+180-$B$97))</f>
        <v>15.842727273</v>
      </c>
    </row>
    <row r="101" customFormat="false" ht="14.25" hidden="false" customHeight="false" outlineLevel="0" collapsed="false">
      <c r="F101" s="18" t="n">
        <v>-73.636363636</v>
      </c>
      <c r="G101" s="18" t="n">
        <v>0.036561619</v>
      </c>
      <c r="H101" s="28" t="n">
        <v>0.014041545</v>
      </c>
      <c r="K101" s="15" t="n">
        <f aca="false">MIN(ABS(F101-$B$97), ABS(F101-180-$B$97), ABS(F101+180-$B$97))</f>
        <v>19.933636364</v>
      </c>
      <c r="L101" s="1" t="n">
        <f aca="false">C97/L97</f>
        <v>0.327961652988931</v>
      </c>
    </row>
    <row r="102" customFormat="false" ht="14.25" hidden="false" customHeight="false" outlineLevel="0" collapsed="false">
      <c r="F102" s="18" t="n">
        <v>-69.545454545</v>
      </c>
      <c r="G102" s="18" t="n">
        <v>0.023900507</v>
      </c>
      <c r="H102" s="28" t="n">
        <v>0.014041545</v>
      </c>
      <c r="K102" s="15" t="n">
        <f aca="false">MIN(ABS(F102-$B$97), ABS(F102-180-$B$97), ABS(F102+180-$B$97))</f>
        <v>24.024545455</v>
      </c>
    </row>
    <row r="103" customFormat="false" ht="14.25" hidden="false" customHeight="false" outlineLevel="0" collapsed="false">
      <c r="F103" s="18" t="n">
        <v>-65.454545455</v>
      </c>
      <c r="G103" s="18" t="n">
        <v>0.014519734</v>
      </c>
      <c r="H103" s="28" t="n">
        <v>0.014041545</v>
      </c>
      <c r="K103" s="15" t="n">
        <f aca="false">MIN(ABS(F103-$B$97), ABS(F103-180-$B$97), ABS(F103+180-$B$97))</f>
        <v>28.115454545</v>
      </c>
    </row>
    <row r="104" customFormat="false" ht="14.25" hidden="false" customHeight="false" outlineLevel="0" collapsed="false">
      <c r="F104" s="18" t="n">
        <v>-61.363636364</v>
      </c>
      <c r="G104" s="18" t="n">
        <v>0.010668619</v>
      </c>
      <c r="H104" s="28" t="n">
        <v>0.014041545</v>
      </c>
      <c r="K104" s="15" t="n">
        <f aca="false">MIN(ABS(F104-$B$97), ABS(F104-180-$B$97), ABS(F104+180-$B$97))</f>
        <v>32.206363636</v>
      </c>
    </row>
    <row r="105" customFormat="false" ht="14.25" hidden="false" customHeight="false" outlineLevel="0" collapsed="false">
      <c r="F105" s="18" t="n">
        <v>-57.272727273</v>
      </c>
      <c r="G105" s="18" t="n">
        <v>0.007578705</v>
      </c>
      <c r="H105" s="28" t="n">
        <v>0.014041545</v>
      </c>
      <c r="K105" s="15" t="n">
        <f aca="false">MIN(ABS(F105-$B$97), ABS(F105-180-$B$97), ABS(F105+180-$B$97))</f>
        <v>36.297272727</v>
      </c>
    </row>
    <row r="106" customFormat="false" ht="14.25" hidden="false" customHeight="false" outlineLevel="0" collapsed="false">
      <c r="F106" s="18" t="n">
        <v>-53.181818182</v>
      </c>
      <c r="G106" s="18" t="n">
        <v>0.005711005</v>
      </c>
      <c r="H106" s="28" t="n">
        <v>0.014041545</v>
      </c>
      <c r="K106" s="15" t="n">
        <f aca="false">MIN(ABS(F106-$B$97), ABS(F106-180-$B$97), ABS(F106+180-$B$97))</f>
        <v>40.388181818</v>
      </c>
    </row>
    <row r="107" customFormat="false" ht="14.25" hidden="false" customHeight="false" outlineLevel="0" collapsed="false">
      <c r="F107" s="18" t="n">
        <v>-49.090909091</v>
      </c>
      <c r="G107" s="18" t="n">
        <v>0.004769853</v>
      </c>
      <c r="H107" s="28" t="n">
        <v>0.014041545</v>
      </c>
      <c r="K107" s="15" t="n">
        <f aca="false">MIN(ABS(F107-$B$97), ABS(F107-180-$B$97), ABS(F107+180-$B$97))</f>
        <v>44.479090909</v>
      </c>
    </row>
    <row r="108" customFormat="false" ht="14.25" hidden="false" customHeight="false" outlineLevel="0" collapsed="false">
      <c r="F108" s="18" t="n">
        <v>-45</v>
      </c>
      <c r="G108" s="18" t="n">
        <v>0.003989925</v>
      </c>
      <c r="H108" s="28" t="n">
        <v>0.014041545</v>
      </c>
      <c r="K108" s="15" t="n">
        <f aca="false">MIN(ABS(F108-$B$97), ABS(F108-180-$B$97), ABS(F108+180-$B$97))</f>
        <v>48.57</v>
      </c>
    </row>
    <row r="109" customFormat="false" ht="14.25" hidden="false" customHeight="false" outlineLevel="0" collapsed="false">
      <c r="F109" s="18" t="n">
        <v>-40.909090909</v>
      </c>
      <c r="G109" s="18" t="n">
        <v>0.003518249</v>
      </c>
      <c r="H109" s="28" t="n">
        <v>0.014041545</v>
      </c>
      <c r="K109" s="15" t="n">
        <f aca="false">MIN(ABS(F109-$B$97), ABS(F109-180-$B$97), ABS(F109+180-$B$97))</f>
        <v>52.660909091</v>
      </c>
    </row>
    <row r="110" customFormat="false" ht="14.25" hidden="false" customHeight="false" outlineLevel="0" collapsed="false">
      <c r="F110" s="18" t="n">
        <v>-36.818181818</v>
      </c>
      <c r="G110" s="18" t="n">
        <v>0.003456737</v>
      </c>
      <c r="H110" s="28" t="n">
        <v>0.014041545</v>
      </c>
      <c r="K110" s="15" t="n">
        <f aca="false">MIN(ABS(F110-$B$97), ABS(F110-180-$B$97), ABS(F110+180-$B$97))</f>
        <v>56.751818182</v>
      </c>
    </row>
    <row r="111" customFormat="false" ht="14.25" hidden="false" customHeight="false" outlineLevel="0" collapsed="false">
      <c r="F111" s="18" t="n">
        <v>-32.727272727</v>
      </c>
      <c r="G111" s="18" t="n">
        <v>0.003370543</v>
      </c>
      <c r="H111" s="28" t="n">
        <v>0.014041545</v>
      </c>
      <c r="K111" s="15" t="n">
        <f aca="false">MIN(ABS(F111-$B$97), ABS(F111-180-$B$97), ABS(F111+180-$B$97))</f>
        <v>60.842727273</v>
      </c>
    </row>
    <row r="112" customFormat="false" ht="14.25" hidden="false" customHeight="false" outlineLevel="0" collapsed="false">
      <c r="F112" s="18" t="n">
        <v>-28.636363636</v>
      </c>
      <c r="G112" s="18" t="n">
        <v>0.002905423</v>
      </c>
      <c r="H112" s="28" t="n">
        <v>0.014041545</v>
      </c>
      <c r="K112" s="15" t="n">
        <f aca="false">MIN(ABS(F112-$B$97), ABS(F112-180-$B$97), ABS(F112+180-$B$97))</f>
        <v>64.933636364</v>
      </c>
    </row>
    <row r="113" customFormat="false" ht="14.25" hidden="false" customHeight="false" outlineLevel="0" collapsed="false">
      <c r="F113" s="18" t="n">
        <v>-24.545454545</v>
      </c>
      <c r="G113" s="18" t="n">
        <v>0.002703658</v>
      </c>
      <c r="H113" s="28" t="n">
        <v>0.014041545</v>
      </c>
      <c r="K113" s="15" t="n">
        <f aca="false">MIN(ABS(F113-$B$97), ABS(F113-180-$B$97), ABS(F113+180-$B$97))</f>
        <v>69.024545455</v>
      </c>
    </row>
    <row r="114" customFormat="false" ht="14.25" hidden="false" customHeight="false" outlineLevel="0" collapsed="false">
      <c r="F114" s="18" t="n">
        <v>-20.454545455</v>
      </c>
      <c r="G114" s="18" t="n">
        <v>0.002718173</v>
      </c>
      <c r="H114" s="28" t="n">
        <v>0.014041545</v>
      </c>
      <c r="K114" s="15" t="n">
        <f aca="false">MIN(ABS(F114-$B$97), ABS(F114-180-$B$97), ABS(F114+180-$B$97))</f>
        <v>73.115454545</v>
      </c>
    </row>
    <row r="115" customFormat="false" ht="14.25" hidden="false" customHeight="false" outlineLevel="0" collapsed="false">
      <c r="F115" s="18" t="n">
        <v>-16.363636364</v>
      </c>
      <c r="G115" s="18" t="n">
        <v>0.002737454</v>
      </c>
      <c r="H115" s="28" t="n">
        <v>0.014041545</v>
      </c>
      <c r="K115" s="15" t="n">
        <f aca="false">MIN(ABS(F115-$B$97), ABS(F115-180-$B$97), ABS(F115+180-$B$97))</f>
        <v>77.206363636</v>
      </c>
    </row>
    <row r="116" customFormat="false" ht="14.25" hidden="false" customHeight="false" outlineLevel="0" collapsed="false">
      <c r="F116" s="18" t="n">
        <v>-12.272727273</v>
      </c>
      <c r="G116" s="18" t="n">
        <v>0.002755713</v>
      </c>
      <c r="H116" s="28" t="n">
        <v>0.014041545</v>
      </c>
      <c r="K116" s="15" t="n">
        <f aca="false">MIN(ABS(F116-$B$97), ABS(F116-180-$B$97), ABS(F116+180-$B$97))</f>
        <v>81.297272727</v>
      </c>
    </row>
    <row r="117" customFormat="false" ht="14.25" hidden="false" customHeight="false" outlineLevel="0" collapsed="false">
      <c r="F117" s="18" t="n">
        <v>-8.181818182</v>
      </c>
      <c r="G117" s="18" t="n">
        <v>0.002901582</v>
      </c>
      <c r="H117" s="28" t="n">
        <v>0.014041545</v>
      </c>
      <c r="K117" s="15" t="n">
        <f aca="false">MIN(ABS(F117-$B$97), ABS(F117-180-$B$97), ABS(F117+180-$B$97))</f>
        <v>85.388181818</v>
      </c>
    </row>
    <row r="118" customFormat="false" ht="14.25" hidden="false" customHeight="false" outlineLevel="0" collapsed="false">
      <c r="F118" s="18" t="n">
        <v>-4.090909091</v>
      </c>
      <c r="G118" s="18" t="n">
        <v>0.002711634</v>
      </c>
      <c r="H118" s="28" t="n">
        <v>0.014041545</v>
      </c>
      <c r="K118" s="15" t="n">
        <f aca="false">MIN(ABS(F118-$B$97), ABS(F118-180-$B$97), ABS(F118+180-$B$97))</f>
        <v>89.479090909</v>
      </c>
    </row>
    <row r="119" customFormat="false" ht="14.25" hidden="false" customHeight="false" outlineLevel="0" collapsed="false">
      <c r="F119" s="18" t="n">
        <v>0</v>
      </c>
      <c r="G119" s="18" t="n">
        <v>0.003135259</v>
      </c>
      <c r="H119" s="28" t="n">
        <v>0.014041545</v>
      </c>
      <c r="K119" s="15" t="n">
        <f aca="false">MIN(ABS(F119-$B$97), ABS(F119-180-$B$97), ABS(F119+180-$B$97))</f>
        <v>86.43</v>
      </c>
    </row>
    <row r="120" customFormat="false" ht="14.25" hidden="false" customHeight="false" outlineLevel="0" collapsed="false">
      <c r="F120" s="18" t="n">
        <v>4.090909091</v>
      </c>
      <c r="G120" s="18" t="n">
        <v>0.002591096</v>
      </c>
      <c r="H120" s="28" t="n">
        <v>0.014041545</v>
      </c>
      <c r="K120" s="15" t="n">
        <f aca="false">MIN(ABS(F120-$B$97), ABS(F120-180-$B$97), ABS(F120+180-$B$97))</f>
        <v>82.339090909</v>
      </c>
    </row>
    <row r="121" customFormat="false" ht="14.25" hidden="false" customHeight="false" outlineLevel="0" collapsed="false">
      <c r="F121" s="18" t="n">
        <v>8.181818182</v>
      </c>
      <c r="G121" s="18" t="n">
        <v>0.002852749</v>
      </c>
      <c r="H121" s="28" t="n">
        <v>0.014041545</v>
      </c>
      <c r="K121" s="15" t="n">
        <f aca="false">MIN(ABS(F121-$B$97), ABS(F121-180-$B$97), ABS(F121+180-$B$97))</f>
        <v>78.248181818</v>
      </c>
    </row>
    <row r="122" customFormat="false" ht="14.25" hidden="false" customHeight="false" outlineLevel="0" collapsed="false">
      <c r="F122" s="18" t="n">
        <v>12.272727273</v>
      </c>
      <c r="G122" s="18" t="n">
        <v>0.002822932</v>
      </c>
      <c r="H122" s="28" t="n">
        <v>0.014041545</v>
      </c>
      <c r="K122" s="15" t="n">
        <f aca="false">MIN(ABS(F122-$B$97), ABS(F122-180-$B$97), ABS(F122+180-$B$97))</f>
        <v>74.157272727</v>
      </c>
    </row>
    <row r="123" customFormat="false" ht="14.25" hidden="false" customHeight="false" outlineLevel="0" collapsed="false">
      <c r="F123" s="18" t="n">
        <v>16.363636364</v>
      </c>
      <c r="G123" s="18" t="n">
        <v>0.002722819</v>
      </c>
      <c r="H123" s="28" t="n">
        <v>0.014041545</v>
      </c>
      <c r="K123" s="15" t="n">
        <f aca="false">MIN(ABS(F123-$B$97), ABS(F123-180-$B$97), ABS(F123+180-$B$97))</f>
        <v>70.066363636</v>
      </c>
    </row>
    <row r="124" customFormat="false" ht="14.25" hidden="false" customHeight="false" outlineLevel="0" collapsed="false">
      <c r="F124" s="18" t="n">
        <v>20.454545455</v>
      </c>
      <c r="G124" s="18" t="n">
        <v>0.002833975</v>
      </c>
      <c r="H124" s="28" t="n">
        <v>0.014041545</v>
      </c>
      <c r="K124" s="15" t="n">
        <f aca="false">MIN(ABS(F124-$B$97), ABS(F124-180-$B$97), ABS(F124+180-$B$97))</f>
        <v>65.975454545</v>
      </c>
    </row>
    <row r="125" customFormat="false" ht="14.25" hidden="false" customHeight="false" outlineLevel="0" collapsed="false">
      <c r="F125" s="18" t="n">
        <v>24.545454545</v>
      </c>
      <c r="G125" s="18" t="n">
        <v>0.002799732</v>
      </c>
      <c r="H125" s="28" t="n">
        <v>0.014041545</v>
      </c>
      <c r="K125" s="15" t="n">
        <f aca="false">MIN(ABS(F125-$B$97), ABS(F125-180-$B$97), ABS(F125+180-$B$97))</f>
        <v>61.884545455</v>
      </c>
    </row>
    <row r="126" customFormat="false" ht="14.25" hidden="false" customHeight="false" outlineLevel="0" collapsed="false">
      <c r="F126" s="18" t="n">
        <v>28.636363636</v>
      </c>
      <c r="G126" s="18" t="n">
        <v>0.002666251</v>
      </c>
      <c r="H126" s="28" t="n">
        <v>0.014041545</v>
      </c>
      <c r="K126" s="15" t="n">
        <f aca="false">MIN(ABS(F126-$B$97), ABS(F126-180-$B$97), ABS(F126+180-$B$97))</f>
        <v>57.793636364</v>
      </c>
    </row>
    <row r="127" customFormat="false" ht="14.25" hidden="false" customHeight="false" outlineLevel="0" collapsed="false">
      <c r="F127" s="18" t="n">
        <v>32.727272727</v>
      </c>
      <c r="G127" s="18" t="n">
        <v>0.00284253</v>
      </c>
      <c r="H127" s="28" t="n">
        <v>0.014041545</v>
      </c>
      <c r="K127" s="15" t="n">
        <f aca="false">MIN(ABS(F127-$B$97), ABS(F127-180-$B$97), ABS(F127+180-$B$97))</f>
        <v>53.702727273</v>
      </c>
    </row>
    <row r="128" customFormat="false" ht="14.25" hidden="false" customHeight="false" outlineLevel="0" collapsed="false">
      <c r="F128" s="18" t="n">
        <v>36.818181818</v>
      </c>
      <c r="G128" s="18" t="n">
        <v>0.003566144</v>
      </c>
      <c r="H128" s="28" t="n">
        <v>0.014041545</v>
      </c>
      <c r="K128" s="15" t="n">
        <f aca="false">MIN(ABS(F128-$B$97), ABS(F128-180-$B$97), ABS(F128+180-$B$97))</f>
        <v>49.611818182</v>
      </c>
    </row>
    <row r="129" customFormat="false" ht="14.25" hidden="false" customHeight="false" outlineLevel="0" collapsed="false">
      <c r="F129" s="18" t="n">
        <v>40.909090909</v>
      </c>
      <c r="G129" s="18" t="n">
        <v>0.003665346</v>
      </c>
      <c r="H129" s="28" t="n">
        <v>0.014041545</v>
      </c>
      <c r="K129" s="15" t="n">
        <f aca="false">MIN(ABS(F129-$B$97), ABS(F129-180-$B$97), ABS(F129+180-$B$97))</f>
        <v>45.520909091</v>
      </c>
    </row>
    <row r="130" customFormat="false" ht="14.25" hidden="false" customHeight="false" outlineLevel="0" collapsed="false">
      <c r="F130" s="18" t="n">
        <v>45</v>
      </c>
      <c r="G130" s="18" t="n">
        <v>0.004246127</v>
      </c>
      <c r="H130" s="28" t="n">
        <v>0.014041549</v>
      </c>
      <c r="K130" s="15" t="n">
        <f aca="false">MIN(ABS(F130-$B$97), ABS(F130-180-$B$97), ABS(F130+180-$B$97))</f>
        <v>41.43</v>
      </c>
    </row>
    <row r="131" customFormat="false" ht="14.25" hidden="false" customHeight="false" outlineLevel="0" collapsed="false">
      <c r="F131" s="18" t="n">
        <v>49.090909091</v>
      </c>
      <c r="G131" s="18" t="n">
        <v>0.004514666</v>
      </c>
      <c r="H131" s="28" t="n">
        <v>0.014041643</v>
      </c>
      <c r="K131" s="15" t="n">
        <f aca="false">MIN(ABS(F131-$B$97), ABS(F131-180-$B$97), ABS(F131+180-$B$97))</f>
        <v>37.339090909</v>
      </c>
    </row>
    <row r="132" customFormat="false" ht="14.25" hidden="false" customHeight="false" outlineLevel="0" collapsed="false">
      <c r="F132" s="18" t="n">
        <v>53.181818182</v>
      </c>
      <c r="G132" s="18" t="n">
        <v>0.005320179</v>
      </c>
      <c r="H132" s="28" t="n">
        <v>0.014043294</v>
      </c>
      <c r="K132" s="15" t="n">
        <f aca="false">MIN(ABS(F132-$B$97), ABS(F132-180-$B$97), ABS(F132+180-$B$97))</f>
        <v>33.248181818</v>
      </c>
    </row>
    <row r="133" customFormat="false" ht="14.25" hidden="false" customHeight="false" outlineLevel="0" collapsed="false">
      <c r="F133" s="18" t="n">
        <v>57.272727273</v>
      </c>
      <c r="G133" s="18" t="n">
        <v>0.006120283</v>
      </c>
      <c r="H133" s="28" t="n">
        <v>0.014063868</v>
      </c>
      <c r="K133" s="15" t="n">
        <f aca="false">MIN(ABS(F133-$B$97), ABS(F133-180-$B$97), ABS(F133+180-$B$97))</f>
        <v>29.157272727</v>
      </c>
    </row>
    <row r="134" customFormat="false" ht="14.25" hidden="false" customHeight="false" outlineLevel="0" collapsed="false">
      <c r="F134" s="18" t="n">
        <v>61.363636364</v>
      </c>
      <c r="G134" s="18" t="n">
        <v>0.007982268</v>
      </c>
      <c r="H134" s="28" t="n">
        <v>0.014245589</v>
      </c>
      <c r="K134" s="15" t="n">
        <f aca="false">MIN(ABS(F134-$B$97), ABS(F134-180-$B$97), ABS(F134+180-$B$97))</f>
        <v>25.066363636</v>
      </c>
    </row>
    <row r="135" customFormat="false" ht="14.25" hidden="false" customHeight="false" outlineLevel="0" collapsed="false">
      <c r="F135" s="18" t="n">
        <v>65.454545455</v>
      </c>
      <c r="G135" s="18" t="n">
        <v>0.011028586</v>
      </c>
      <c r="H135" s="28" t="n">
        <v>0.015377139</v>
      </c>
      <c r="K135" s="15" t="n">
        <f aca="false">MIN(ABS(F135-$B$97), ABS(F135-180-$B$97), ABS(F135+180-$B$97))</f>
        <v>20.975454545</v>
      </c>
    </row>
    <row r="136" customFormat="false" ht="14.25" hidden="false" customHeight="false" outlineLevel="0" collapsed="false">
      <c r="F136" s="18" t="n">
        <v>69.545454545</v>
      </c>
      <c r="G136" s="18" t="n">
        <v>0.016922519</v>
      </c>
      <c r="H136" s="28" t="n">
        <v>0.020302022</v>
      </c>
      <c r="K136" s="15" t="n">
        <f aca="false">MIN(ABS(F136-$B$97), ABS(F136-180-$B$97), ABS(F136+180-$B$97))</f>
        <v>16.884545455</v>
      </c>
    </row>
    <row r="137" customFormat="false" ht="14.25" hidden="false" customHeight="false" outlineLevel="0" collapsed="false">
      <c r="F137" s="18" t="n">
        <v>73.636363636</v>
      </c>
      <c r="G137" s="18" t="n">
        <v>0.028849361</v>
      </c>
      <c r="H137" s="28" t="n">
        <v>0.035056243</v>
      </c>
      <c r="K137" s="15" t="n">
        <f aca="false">MIN(ABS(F137-$B$97), ABS(F137-180-$B$97), ABS(F137+180-$B$97))</f>
        <v>12.793636364</v>
      </c>
    </row>
    <row r="138" customFormat="false" ht="14.25" hidden="false" customHeight="false" outlineLevel="0" collapsed="false">
      <c r="F138" s="18" t="n">
        <v>77.727272727</v>
      </c>
      <c r="G138" s="18" t="n">
        <v>0.060001341</v>
      </c>
      <c r="H138" s="28" t="n">
        <v>0.064556689</v>
      </c>
      <c r="K138" s="15" t="n">
        <f aca="false">MIN(ABS(F138-$B$97), ABS(F138-180-$B$97), ABS(F138+180-$B$97))</f>
        <v>8.70272727300001</v>
      </c>
    </row>
    <row r="139" s="19" customFormat="true" ht="14.25" hidden="false" customHeight="false" outlineLevel="0" collapsed="false">
      <c r="A139" s="1"/>
      <c r="B139" s="1"/>
      <c r="C139" s="1"/>
      <c r="D139" s="1"/>
      <c r="E139" s="1"/>
      <c r="F139" s="18" t="n">
        <v>81.818181818</v>
      </c>
      <c r="G139" s="18" t="n">
        <v>0.12174569</v>
      </c>
      <c r="H139" s="28" t="n">
        <v>0.100998191</v>
      </c>
      <c r="I139" s="1"/>
      <c r="J139" s="1"/>
      <c r="K139" s="15" t="n">
        <f aca="false">MIN(ABS(F139-$B$97), ABS(F139-180-$B$97), ABS(F139+180-$B$97))</f>
        <v>4.61181818200001</v>
      </c>
      <c r="L139" s="1"/>
      <c r="M139" s="1"/>
    </row>
    <row r="140" customFormat="false" ht="14.25" hidden="false" customHeight="false" outlineLevel="0" collapsed="false">
      <c r="F140" s="18" t="n">
        <v>85.909090909</v>
      </c>
      <c r="G140" s="18" t="n">
        <v>0.100291357</v>
      </c>
      <c r="H140" s="28" t="n">
        <v>0.121234614</v>
      </c>
      <c r="K140" s="15" t="n">
        <f aca="false">MIN(ABS(F140-$B$97), ABS(F140-180-$B$97), ABS(F140+180-$B$97))</f>
        <v>0.520909091000007</v>
      </c>
    </row>
    <row r="141" customFormat="false" ht="14.25" hidden="false" customHeight="false" outlineLevel="0" collapsed="false">
      <c r="A141" s="19"/>
      <c r="B141" s="19"/>
      <c r="C141" s="19"/>
      <c r="D141" s="19"/>
      <c r="E141" s="19"/>
      <c r="F141" s="32" t="n">
        <v>90</v>
      </c>
      <c r="G141" s="32" t="n">
        <v>0.117437649</v>
      </c>
      <c r="H141" s="33" t="n">
        <v>0.108668175</v>
      </c>
      <c r="I141" s="19"/>
      <c r="J141" s="19"/>
      <c r="K141" s="15" t="n">
        <f aca="false">MIN(ABS(F141-$B$97), ABS(F141-180-$B$97), ABS(F141+180-$B$97))</f>
        <v>3.56999999999999</v>
      </c>
      <c r="L141" s="19"/>
      <c r="M141" s="19"/>
    </row>
    <row r="142" customFormat="false" ht="14.25" hidden="false" customHeight="false" outlineLevel="0" collapsed="false">
      <c r="A142" s="14" t="n">
        <v>20241115</v>
      </c>
      <c r="B142" s="14" t="n">
        <v>-87.11</v>
      </c>
      <c r="C142" s="14" t="n">
        <v>8.56</v>
      </c>
      <c r="D142" s="14" t="n">
        <v>0.47</v>
      </c>
      <c r="E142" s="14" t="n">
        <v>0.54</v>
      </c>
      <c r="F142" s="18" t="n">
        <v>-90</v>
      </c>
      <c r="G142" s="18" t="n">
        <v>0.126919848</v>
      </c>
      <c r="H142" s="28" t="n">
        <v>0.118486784</v>
      </c>
      <c r="K142" s="15" t="n">
        <f aca="false">MIN(ABS(F142-$B$142), ABS(F142-180-$B$142), ABS(F142+180-$B$142))</f>
        <v>2.89</v>
      </c>
      <c r="L142" s="16" t="n">
        <f aca="false" t="array" ref="L142:L142">SQRT(SUMPRODUCT(G142:G186,K142:K186*K142:K186))</f>
        <v>23.5198294547709</v>
      </c>
      <c r="M142" s="3" t="n">
        <f aca="false" t="array" ref="M142:M142">SUMPRODUCT(G142:G186,ABS(K142:K186))</f>
        <v>14.1289354088636</v>
      </c>
    </row>
    <row r="143" customFormat="false" ht="14.25" hidden="false" customHeight="false" outlineLevel="0" collapsed="false">
      <c r="F143" s="18" t="n">
        <v>-85.909090909</v>
      </c>
      <c r="G143" s="18" t="n">
        <v>0.104639404</v>
      </c>
      <c r="H143" s="28" t="n">
        <v>0.123593977</v>
      </c>
      <c r="K143" s="15" t="n">
        <f aca="false">MIN(ABS(F143-$B$142), ABS(F143-180-$B$142), ABS(F143+180-$B$142))</f>
        <v>1.200909091</v>
      </c>
    </row>
    <row r="144" customFormat="false" ht="14.25" hidden="false" customHeight="false" outlineLevel="0" collapsed="false">
      <c r="F144" s="18" t="n">
        <v>-81.818181818</v>
      </c>
      <c r="G144" s="18" t="n">
        <v>0.116942064</v>
      </c>
      <c r="H144" s="28" t="n">
        <v>0.105227508</v>
      </c>
      <c r="K144" s="15" t="n">
        <f aca="false">MIN(ABS(F144-$B$142), ABS(F144-180-$B$142), ABS(F144+180-$B$142))</f>
        <v>5.291818182</v>
      </c>
    </row>
    <row r="145" customFormat="false" ht="14.25" hidden="false" customHeight="false" outlineLevel="0" collapsed="false">
      <c r="F145" s="18" t="n">
        <v>-77.727272727</v>
      </c>
      <c r="G145" s="18" t="n">
        <v>0.081644081</v>
      </c>
      <c r="H145" s="28" t="n">
        <v>0.074162297</v>
      </c>
      <c r="K145" s="15" t="n">
        <f aca="false">MIN(ABS(F145-$B$142), ABS(F145-180-$B$142), ABS(F145+180-$B$142))</f>
        <v>9.382727273</v>
      </c>
      <c r="L145" s="1" t="n">
        <f aca="false">C142/L142</f>
        <v>0.363948217246263</v>
      </c>
    </row>
    <row r="146" customFormat="false" ht="14.25" hidden="false" customHeight="false" outlineLevel="0" collapsed="false">
      <c r="F146" s="18" t="n">
        <v>-73.636363636</v>
      </c>
      <c r="G146" s="18" t="n">
        <v>0.037930304</v>
      </c>
      <c r="H146" s="28" t="n">
        <v>0.045227407</v>
      </c>
      <c r="K146" s="15" t="n">
        <f aca="false">MIN(ABS(F146-$B$142), ABS(F146-180-$B$142), ABS(F146+180-$B$142))</f>
        <v>13.473636364</v>
      </c>
    </row>
    <row r="147" customFormat="false" ht="14.25" hidden="false" customHeight="false" outlineLevel="0" collapsed="false">
      <c r="F147" s="18" t="n">
        <v>-69.545454545</v>
      </c>
      <c r="G147" s="18" t="n">
        <v>0.020203682</v>
      </c>
      <c r="H147" s="28" t="n">
        <v>0.026451042</v>
      </c>
      <c r="K147" s="15" t="n">
        <f aca="false">MIN(ABS(F147-$B$142), ABS(F147-180-$B$142), ABS(F147+180-$B$142))</f>
        <v>17.564545455</v>
      </c>
    </row>
    <row r="148" customFormat="false" ht="14.25" hidden="false" customHeight="false" outlineLevel="0" collapsed="false">
      <c r="F148" s="18" t="n">
        <v>-65.454545455</v>
      </c>
      <c r="G148" s="18" t="n">
        <v>0.015356524</v>
      </c>
      <c r="H148" s="28" t="n">
        <v>0.017391799</v>
      </c>
      <c r="K148" s="15" t="n">
        <f aca="false">MIN(ABS(F148-$B$142), ABS(F148-180-$B$142), ABS(F148+180-$B$142))</f>
        <v>21.655454545</v>
      </c>
    </row>
    <row r="149" customFormat="false" ht="14.25" hidden="false" customHeight="false" outlineLevel="0" collapsed="false">
      <c r="F149" s="18" t="n">
        <v>-61.363636364</v>
      </c>
      <c r="G149" s="18" t="n">
        <v>0.012988931</v>
      </c>
      <c r="H149" s="28" t="n">
        <v>0.014051551</v>
      </c>
      <c r="K149" s="15" t="n">
        <f aca="false">MIN(ABS(F149-$B$142), ABS(F149-180-$B$142), ABS(F149+180-$B$142))</f>
        <v>25.746363636</v>
      </c>
    </row>
    <row r="150" customFormat="false" ht="14.25" hidden="false" customHeight="false" outlineLevel="0" collapsed="false">
      <c r="F150" s="18" t="n">
        <v>-57.272727273</v>
      </c>
      <c r="G150" s="18" t="n">
        <v>0.010881471</v>
      </c>
      <c r="H150" s="28" t="n">
        <v>0.013096966</v>
      </c>
      <c r="K150" s="15" t="n">
        <f aca="false">MIN(ABS(F150-$B$142), ABS(F150-180-$B$142), ABS(F150+180-$B$142))</f>
        <v>29.837272727</v>
      </c>
    </row>
    <row r="151" customFormat="false" ht="14.25" hidden="false" customHeight="false" outlineLevel="0" collapsed="false">
      <c r="F151" s="18" t="n">
        <v>-53.181818182</v>
      </c>
      <c r="G151" s="18" t="n">
        <v>0.008493621</v>
      </c>
      <c r="H151" s="28" t="n">
        <v>0.012883775</v>
      </c>
      <c r="K151" s="15" t="n">
        <f aca="false">MIN(ABS(F151-$B$142), ABS(F151-180-$B$142), ABS(F151+180-$B$142))</f>
        <v>33.928181818</v>
      </c>
    </row>
    <row r="152" customFormat="false" ht="14.25" hidden="false" customHeight="false" outlineLevel="0" collapsed="false">
      <c r="F152" s="18" t="n">
        <v>-49.090909091</v>
      </c>
      <c r="G152" s="18" t="n">
        <v>0.006925959</v>
      </c>
      <c r="H152" s="28" t="n">
        <v>0.012846373</v>
      </c>
      <c r="K152" s="15" t="n">
        <f aca="false">MIN(ABS(F152-$B$142), ABS(F152-180-$B$142), ABS(F152+180-$B$142))</f>
        <v>38.019090909</v>
      </c>
    </row>
    <row r="153" customFormat="false" ht="14.25" hidden="false" customHeight="false" outlineLevel="0" collapsed="false">
      <c r="F153" s="18" t="n">
        <v>-45</v>
      </c>
      <c r="G153" s="18" t="n">
        <v>0.006447145</v>
      </c>
      <c r="H153" s="28" t="n">
        <v>0.012841201</v>
      </c>
      <c r="K153" s="15" t="n">
        <f aca="false">MIN(ABS(F153-$B$142), ABS(F153-180-$B$142), ABS(F153+180-$B$142))</f>
        <v>42.11</v>
      </c>
    </row>
    <row r="154" customFormat="false" ht="14.25" hidden="false" customHeight="false" outlineLevel="0" collapsed="false">
      <c r="F154" s="18" t="n">
        <v>-40.909090909</v>
      </c>
      <c r="G154" s="18" t="n">
        <v>0.005128348</v>
      </c>
      <c r="H154" s="28" t="n">
        <v>0.012840636</v>
      </c>
      <c r="K154" s="15" t="n">
        <f aca="false">MIN(ABS(F154-$B$142), ABS(F154-180-$B$142), ABS(F154+180-$B$142))</f>
        <v>46.200909091</v>
      </c>
    </row>
    <row r="155" customFormat="false" ht="14.25" hidden="false" customHeight="false" outlineLevel="0" collapsed="false">
      <c r="F155" s="18" t="n">
        <v>-36.818181818</v>
      </c>
      <c r="G155" s="18" t="n">
        <v>0.004568977</v>
      </c>
      <c r="H155" s="28" t="n">
        <v>0.012840587</v>
      </c>
      <c r="K155" s="15" t="n">
        <f aca="false">MIN(ABS(F155-$B$142), ABS(F155-180-$B$142), ABS(F155+180-$B$142))</f>
        <v>50.291818182</v>
      </c>
    </row>
    <row r="156" customFormat="false" ht="14.25" hidden="false" customHeight="false" outlineLevel="0" collapsed="false">
      <c r="F156" s="18" t="n">
        <v>-32.727272727</v>
      </c>
      <c r="G156" s="18" t="n">
        <v>0.00429896</v>
      </c>
      <c r="H156" s="28" t="n">
        <v>0.012840584</v>
      </c>
      <c r="K156" s="15" t="n">
        <f aca="false">MIN(ABS(F156-$B$142), ABS(F156-180-$B$142), ABS(F156+180-$B$142))</f>
        <v>54.382727273</v>
      </c>
    </row>
    <row r="157" customFormat="false" ht="14.25" hidden="false" customHeight="false" outlineLevel="0" collapsed="false">
      <c r="F157" s="18" t="n">
        <v>-28.636363636</v>
      </c>
      <c r="G157" s="18" t="n">
        <v>0.003610225</v>
      </c>
      <c r="H157" s="28" t="n">
        <v>0.012840584</v>
      </c>
      <c r="K157" s="15" t="n">
        <f aca="false">MIN(ABS(F157-$B$142), ABS(F157-180-$B$142), ABS(F157+180-$B$142))</f>
        <v>58.473636364</v>
      </c>
    </row>
    <row r="158" customFormat="false" ht="14.25" hidden="false" customHeight="false" outlineLevel="0" collapsed="false">
      <c r="F158" s="18" t="n">
        <v>-24.545454545</v>
      </c>
      <c r="G158" s="18" t="n">
        <v>0.003845641</v>
      </c>
      <c r="H158" s="28" t="n">
        <v>0.012840584</v>
      </c>
      <c r="K158" s="15" t="n">
        <f aca="false">MIN(ABS(F158-$B$142), ABS(F158-180-$B$142), ABS(F158+180-$B$142))</f>
        <v>62.564545455</v>
      </c>
    </row>
    <row r="159" customFormat="false" ht="14.25" hidden="false" customHeight="false" outlineLevel="0" collapsed="false">
      <c r="F159" s="18" t="n">
        <v>-20.454545455</v>
      </c>
      <c r="G159" s="18" t="n">
        <v>0.003989266</v>
      </c>
      <c r="H159" s="28" t="n">
        <v>0.012840584</v>
      </c>
      <c r="K159" s="15" t="n">
        <f aca="false">MIN(ABS(F159-$B$142), ABS(F159-180-$B$142), ABS(F159+180-$B$142))</f>
        <v>66.655454545</v>
      </c>
    </row>
    <row r="160" customFormat="false" ht="14.25" hidden="false" customHeight="false" outlineLevel="0" collapsed="false">
      <c r="F160" s="18" t="n">
        <v>-16.363636364</v>
      </c>
      <c r="G160" s="18" t="n">
        <v>0.003492701</v>
      </c>
      <c r="H160" s="28" t="n">
        <v>0.012840584</v>
      </c>
      <c r="K160" s="15" t="n">
        <f aca="false">MIN(ABS(F160-$B$142), ABS(F160-180-$B$142), ABS(F160+180-$B$142))</f>
        <v>70.746363636</v>
      </c>
    </row>
    <row r="161" customFormat="false" ht="14.25" hidden="false" customHeight="false" outlineLevel="0" collapsed="false">
      <c r="F161" s="18" t="n">
        <v>-12.272727273</v>
      </c>
      <c r="G161" s="18" t="n">
        <v>0.003536435</v>
      </c>
      <c r="H161" s="28" t="n">
        <v>0.012840584</v>
      </c>
      <c r="K161" s="15" t="n">
        <f aca="false">MIN(ABS(F161-$B$142), ABS(F161-180-$B$142), ABS(F161+180-$B$142))</f>
        <v>74.837272727</v>
      </c>
    </row>
    <row r="162" customFormat="false" ht="14.25" hidden="false" customHeight="false" outlineLevel="0" collapsed="false">
      <c r="F162" s="18" t="n">
        <v>-8.181818182</v>
      </c>
      <c r="G162" s="18" t="n">
        <v>0.003651087</v>
      </c>
      <c r="H162" s="28" t="n">
        <v>0.012840584</v>
      </c>
      <c r="K162" s="15" t="n">
        <f aca="false">MIN(ABS(F162-$B$142), ABS(F162-180-$B$142), ABS(F162+180-$B$142))</f>
        <v>78.928181818</v>
      </c>
    </row>
    <row r="163" customFormat="false" ht="14.25" hidden="false" customHeight="false" outlineLevel="0" collapsed="false">
      <c r="F163" s="18" t="n">
        <v>-4.090909091</v>
      </c>
      <c r="G163" s="18" t="n">
        <v>0.003292137</v>
      </c>
      <c r="H163" s="28" t="n">
        <v>0.012840584</v>
      </c>
      <c r="K163" s="15" t="n">
        <f aca="false">MIN(ABS(F163-$B$142), ABS(F163-180-$B$142), ABS(F163+180-$B$142))</f>
        <v>83.019090909</v>
      </c>
    </row>
    <row r="164" customFormat="false" ht="14.25" hidden="false" customHeight="false" outlineLevel="0" collapsed="false">
      <c r="F164" s="18" t="n">
        <v>0</v>
      </c>
      <c r="G164" s="18" t="n">
        <v>0.004200524</v>
      </c>
      <c r="H164" s="28" t="n">
        <v>0.012840584</v>
      </c>
      <c r="K164" s="15" t="n">
        <f aca="false">MIN(ABS(F164-$B$142), ABS(F164-180-$B$142), ABS(F164+180-$B$142))</f>
        <v>87.11</v>
      </c>
    </row>
    <row r="165" customFormat="false" ht="14.25" hidden="false" customHeight="false" outlineLevel="0" collapsed="false">
      <c r="F165" s="18" t="n">
        <v>4.090909091</v>
      </c>
      <c r="G165" s="18" t="n">
        <v>0.003409466</v>
      </c>
      <c r="H165" s="28" t="n">
        <v>0.012840584</v>
      </c>
      <c r="K165" s="15" t="n">
        <f aca="false">MIN(ABS(F165-$B$142), ABS(F165-180-$B$142), ABS(F165+180-$B$142))</f>
        <v>88.799090909</v>
      </c>
    </row>
    <row r="166" customFormat="false" ht="14.25" hidden="false" customHeight="false" outlineLevel="0" collapsed="false">
      <c r="F166" s="18" t="n">
        <v>8.181818182</v>
      </c>
      <c r="G166" s="18" t="n">
        <v>0.003589052</v>
      </c>
      <c r="H166" s="28" t="n">
        <v>0.012840584</v>
      </c>
      <c r="K166" s="15" t="n">
        <f aca="false">MIN(ABS(F166-$B$142), ABS(F166-180-$B$142), ABS(F166+180-$B$142))</f>
        <v>84.708181818</v>
      </c>
    </row>
    <row r="167" customFormat="false" ht="14.25" hidden="false" customHeight="false" outlineLevel="0" collapsed="false">
      <c r="F167" s="18" t="n">
        <v>12.272727273</v>
      </c>
      <c r="G167" s="18" t="n">
        <v>0.003945562</v>
      </c>
      <c r="H167" s="28" t="n">
        <v>0.012840584</v>
      </c>
      <c r="K167" s="15" t="n">
        <f aca="false">MIN(ABS(F167-$B$142), ABS(F167-180-$B$142), ABS(F167+180-$B$142))</f>
        <v>80.617272727</v>
      </c>
    </row>
    <row r="168" customFormat="false" ht="14.25" hidden="false" customHeight="false" outlineLevel="0" collapsed="false">
      <c r="F168" s="18" t="n">
        <v>16.363636364</v>
      </c>
      <c r="G168" s="18" t="n">
        <v>0.00374942</v>
      </c>
      <c r="H168" s="28" t="n">
        <v>0.012840584</v>
      </c>
      <c r="K168" s="15" t="n">
        <f aca="false">MIN(ABS(F168-$B$142), ABS(F168-180-$B$142), ABS(F168+180-$B$142))</f>
        <v>76.526363636</v>
      </c>
    </row>
    <row r="169" customFormat="false" ht="14.25" hidden="false" customHeight="false" outlineLevel="0" collapsed="false">
      <c r="F169" s="18" t="n">
        <v>20.454545455</v>
      </c>
      <c r="G169" s="18" t="n">
        <v>0.003974529</v>
      </c>
      <c r="H169" s="28" t="n">
        <v>0.012840584</v>
      </c>
      <c r="K169" s="15" t="n">
        <f aca="false">MIN(ABS(F169-$B$142), ABS(F169-180-$B$142), ABS(F169+180-$B$142))</f>
        <v>72.435454545</v>
      </c>
    </row>
    <row r="170" customFormat="false" ht="14.25" hidden="false" customHeight="false" outlineLevel="0" collapsed="false">
      <c r="F170" s="18" t="n">
        <v>24.545454545</v>
      </c>
      <c r="G170" s="18" t="n">
        <v>0.003890625</v>
      </c>
      <c r="H170" s="28" t="n">
        <v>0.012840584</v>
      </c>
      <c r="K170" s="15" t="n">
        <f aca="false">MIN(ABS(F170-$B$142), ABS(F170-180-$B$142), ABS(F170+180-$B$142))</f>
        <v>68.344545455</v>
      </c>
    </row>
    <row r="171" customFormat="false" ht="14.25" hidden="false" customHeight="false" outlineLevel="0" collapsed="false">
      <c r="F171" s="18" t="n">
        <v>28.636363636</v>
      </c>
      <c r="G171" s="18" t="n">
        <v>0.003800167</v>
      </c>
      <c r="H171" s="28" t="n">
        <v>0.012840584</v>
      </c>
      <c r="K171" s="15" t="n">
        <f aca="false">MIN(ABS(F171-$B$142), ABS(F171-180-$B$142), ABS(F171+180-$B$142))</f>
        <v>64.253636364</v>
      </c>
    </row>
    <row r="172" customFormat="false" ht="14.25" hidden="false" customHeight="false" outlineLevel="0" collapsed="false">
      <c r="F172" s="18" t="n">
        <v>32.727272727</v>
      </c>
      <c r="G172" s="18" t="n">
        <v>0.003929174</v>
      </c>
      <c r="H172" s="28" t="n">
        <v>0.012840584</v>
      </c>
      <c r="K172" s="15" t="n">
        <f aca="false">MIN(ABS(F172-$B$142), ABS(F172-180-$B$142), ABS(F172+180-$B$142))</f>
        <v>60.162727273</v>
      </c>
    </row>
    <row r="173" customFormat="false" ht="14.25" hidden="false" customHeight="false" outlineLevel="0" collapsed="false">
      <c r="F173" s="18" t="n">
        <v>36.818181818</v>
      </c>
      <c r="G173" s="18" t="n">
        <v>0.004220781</v>
      </c>
      <c r="H173" s="28" t="n">
        <v>0.012840584</v>
      </c>
      <c r="K173" s="15" t="n">
        <f aca="false">MIN(ABS(F173-$B$142), ABS(F173-180-$B$142), ABS(F173+180-$B$142))</f>
        <v>56.071818182</v>
      </c>
    </row>
    <row r="174" customFormat="false" ht="14.25" hidden="false" customHeight="false" outlineLevel="0" collapsed="false">
      <c r="F174" s="18" t="n">
        <v>40.909090909</v>
      </c>
      <c r="G174" s="18" t="n">
        <v>0.004322004</v>
      </c>
      <c r="H174" s="28" t="n">
        <v>0.012840584</v>
      </c>
      <c r="K174" s="15" t="n">
        <f aca="false">MIN(ABS(F174-$B$142), ABS(F174-180-$B$142), ABS(F174+180-$B$142))</f>
        <v>51.980909091</v>
      </c>
    </row>
    <row r="175" customFormat="false" ht="14.25" hidden="false" customHeight="false" outlineLevel="0" collapsed="false">
      <c r="F175" s="18" t="n">
        <v>45</v>
      </c>
      <c r="G175" s="18" t="n">
        <v>0.004627366</v>
      </c>
      <c r="H175" s="28" t="n">
        <v>0.012840584</v>
      </c>
      <c r="K175" s="15" t="n">
        <f aca="false">MIN(ABS(F175-$B$142), ABS(F175-180-$B$142), ABS(F175+180-$B$142))</f>
        <v>47.89</v>
      </c>
    </row>
    <row r="176" customFormat="false" ht="14.25" hidden="false" customHeight="false" outlineLevel="0" collapsed="false">
      <c r="F176" s="18" t="n">
        <v>49.090909091</v>
      </c>
      <c r="G176" s="18" t="n">
        <v>0.004940385</v>
      </c>
      <c r="H176" s="28" t="n">
        <v>0.012840584</v>
      </c>
      <c r="K176" s="15" t="n">
        <f aca="false">MIN(ABS(F176-$B$142), ABS(F176-180-$B$142), ABS(F176+180-$B$142))</f>
        <v>43.799090909</v>
      </c>
    </row>
    <row r="177" customFormat="false" ht="14.25" hidden="false" customHeight="false" outlineLevel="0" collapsed="false">
      <c r="F177" s="18" t="n">
        <v>53.181818182</v>
      </c>
      <c r="G177" s="18" t="n">
        <v>0.005897849</v>
      </c>
      <c r="H177" s="28" t="n">
        <v>0.012840584</v>
      </c>
      <c r="K177" s="15" t="n">
        <f aca="false">MIN(ABS(F177-$B$142), ABS(F177-180-$B$142), ABS(F177+180-$B$142))</f>
        <v>39.708181818</v>
      </c>
    </row>
    <row r="178" customFormat="false" ht="14.25" hidden="false" customHeight="false" outlineLevel="0" collapsed="false">
      <c r="F178" s="18" t="n">
        <v>57.272727273</v>
      </c>
      <c r="G178" s="18" t="n">
        <v>0.006226519</v>
      </c>
      <c r="H178" s="28" t="n">
        <v>0.012840584</v>
      </c>
      <c r="K178" s="15" t="n">
        <f aca="false">MIN(ABS(F178-$B$142), ABS(F178-180-$B$142), ABS(F178+180-$B$142))</f>
        <v>35.617272727</v>
      </c>
    </row>
    <row r="179" customFormat="false" ht="14.25" hidden="false" customHeight="false" outlineLevel="0" collapsed="false">
      <c r="F179" s="18" t="n">
        <v>61.363636364</v>
      </c>
      <c r="G179" s="18" t="n">
        <v>0.007264737</v>
      </c>
      <c r="H179" s="28" t="n">
        <v>0.012840584</v>
      </c>
      <c r="K179" s="15" t="n">
        <f aca="false">MIN(ABS(F179-$B$142), ABS(F179-180-$B$142), ABS(F179+180-$B$142))</f>
        <v>31.526363636</v>
      </c>
    </row>
    <row r="180" customFormat="false" ht="14.25" hidden="false" customHeight="false" outlineLevel="0" collapsed="false">
      <c r="F180" s="18" t="n">
        <v>65.454545455</v>
      </c>
      <c r="G180" s="18" t="n">
        <v>0.009036447</v>
      </c>
      <c r="H180" s="28" t="n">
        <v>0.012840584</v>
      </c>
      <c r="K180" s="15" t="n">
        <f aca="false">MIN(ABS(F180-$B$142), ABS(F180-180-$B$142), ABS(F180+180-$B$142))</f>
        <v>27.435454545</v>
      </c>
    </row>
    <row r="181" customFormat="false" ht="14.25" hidden="false" customHeight="false" outlineLevel="0" collapsed="false">
      <c r="F181" s="18" t="n">
        <v>69.545454545</v>
      </c>
      <c r="G181" s="18" t="n">
        <v>0.011348738</v>
      </c>
      <c r="H181" s="28" t="n">
        <v>0.012840584</v>
      </c>
      <c r="K181" s="15" t="n">
        <f aca="false">MIN(ABS(F181-$B$142), ABS(F181-180-$B$142), ABS(F181+180-$B$142))</f>
        <v>23.344545455</v>
      </c>
    </row>
    <row r="182" customFormat="false" ht="14.25" hidden="false" customHeight="false" outlineLevel="0" collapsed="false">
      <c r="F182" s="18" t="n">
        <v>73.636363636</v>
      </c>
      <c r="G182" s="18" t="n">
        <v>0.01694232</v>
      </c>
      <c r="H182" s="28" t="n">
        <v>0.012840584</v>
      </c>
      <c r="K182" s="15" t="n">
        <f aca="false">MIN(ABS(F182-$B$142), ABS(F182-180-$B$142), ABS(F182+180-$B$142))</f>
        <v>19.253636364</v>
      </c>
    </row>
    <row r="183" customFormat="false" ht="14.25" hidden="false" customHeight="false" outlineLevel="0" collapsed="false">
      <c r="F183" s="18" t="n">
        <v>77.727272727</v>
      </c>
      <c r="G183" s="18" t="n">
        <v>0.030378534</v>
      </c>
      <c r="H183" s="28" t="n">
        <v>0.012840584</v>
      </c>
      <c r="K183" s="15" t="n">
        <f aca="false">MIN(ABS(F183-$B$142), ABS(F183-180-$B$142), ABS(F183+180-$B$142))</f>
        <v>15.162727273</v>
      </c>
    </row>
    <row r="184" s="19" customFormat="true" ht="14.25" hidden="false" customHeight="false" outlineLevel="0" collapsed="false">
      <c r="A184" s="1"/>
      <c r="B184" s="1"/>
      <c r="C184" s="1"/>
      <c r="D184" s="1"/>
      <c r="E184" s="1"/>
      <c r="F184" s="18" t="n">
        <v>81.818181818</v>
      </c>
      <c r="G184" s="18" t="n">
        <v>0.050700371</v>
      </c>
      <c r="H184" s="28" t="n">
        <v>0.012840584</v>
      </c>
      <c r="I184" s="1"/>
      <c r="J184" s="1"/>
      <c r="K184" s="15" t="n">
        <f aca="false">MIN(ABS(F184-$B$142), ABS(F184-180-$B$142), ABS(F184+180-$B$142))</f>
        <v>11.071818182</v>
      </c>
      <c r="L184" s="1"/>
      <c r="M184" s="1"/>
    </row>
    <row r="185" customFormat="false" ht="14.25" hidden="false" customHeight="false" outlineLevel="0" collapsed="false">
      <c r="F185" s="18" t="n">
        <v>85.909090909</v>
      </c>
      <c r="G185" s="18" t="n">
        <v>0.093898771</v>
      </c>
      <c r="H185" s="28" t="n">
        <v>0.012840584</v>
      </c>
      <c r="K185" s="15" t="n">
        <f aca="false">MIN(ABS(F185-$B$142), ABS(F185-180-$B$142), ABS(F185+180-$B$142))</f>
        <v>6.980909091</v>
      </c>
    </row>
    <row r="186" customFormat="false" ht="14.25" hidden="false" customHeight="false" outlineLevel="0" collapsed="false">
      <c r="A186" s="19"/>
      <c r="B186" s="19"/>
      <c r="C186" s="19"/>
      <c r="D186" s="19"/>
      <c r="E186" s="19"/>
      <c r="F186" s="32" t="n">
        <v>90</v>
      </c>
      <c r="G186" s="32" t="n">
        <v>0.126919848</v>
      </c>
      <c r="H186" s="33" t="n">
        <v>0.012840584</v>
      </c>
      <c r="I186" s="19"/>
      <c r="J186" s="19"/>
      <c r="K186" s="15" t="n">
        <f aca="false">MIN(ABS(F186-$B$142), ABS(F186-180-$B$142), ABS(F186+180-$B$142))</f>
        <v>2.89</v>
      </c>
      <c r="L186" s="19"/>
      <c r="M186" s="19"/>
    </row>
    <row r="187" customFormat="false" ht="14.25" hidden="false" customHeight="false" outlineLevel="0" collapsed="false">
      <c r="A187" s="14" t="n">
        <v>20241115</v>
      </c>
      <c r="B187" s="14" t="n">
        <v>-89.52</v>
      </c>
      <c r="C187" s="14" t="n">
        <v>7.44</v>
      </c>
      <c r="D187" s="14" t="n">
        <v>0.48</v>
      </c>
      <c r="E187" s="14" t="n">
        <v>0.48</v>
      </c>
      <c r="F187" s="18" t="n">
        <v>-90</v>
      </c>
      <c r="G187" s="18" t="n">
        <v>0.170006908</v>
      </c>
      <c r="H187" s="28" t="n">
        <v>0.165420414</v>
      </c>
      <c r="K187" s="15" t="n">
        <f aca="false">MIN(ABS(F187-$B$187), ABS(F187-180-$B$187), ABS(F187+180-$B$187))</f>
        <v>0.480000000000004</v>
      </c>
      <c r="L187" s="16" t="n">
        <f aca="false" t="array" ref="L187:L187">SQRT(SUMPRODUCT(G187:G231,K187:K231*K187:K231))</f>
        <v>17.5543530641424</v>
      </c>
      <c r="M187" s="3" t="n">
        <f aca="false" t="array" ref="M187:M187">SUMPRODUCT(G187:G231,ABS(K187:K231))</f>
        <v>9.14123371465725</v>
      </c>
    </row>
    <row r="188" customFormat="false" ht="14.25" hidden="false" customHeight="false" outlineLevel="0" collapsed="false">
      <c r="F188" s="18" t="n">
        <v>-85.909090909</v>
      </c>
      <c r="G188" s="18" t="n">
        <v>0.134576944</v>
      </c>
      <c r="H188" s="28" t="n">
        <v>0.148672816</v>
      </c>
      <c r="K188" s="15" t="n">
        <f aca="false">MIN(ABS(F188-$B$187), ABS(F188-180-$B$187), ABS(F188+180-$B$187))</f>
        <v>3.610909091</v>
      </c>
    </row>
    <row r="189" customFormat="false" ht="14.25" hidden="false" customHeight="false" outlineLevel="0" collapsed="false">
      <c r="F189" s="18" t="n">
        <v>-81.818181818</v>
      </c>
      <c r="G189" s="18" t="n">
        <v>0.119681096</v>
      </c>
      <c r="H189" s="28" t="n">
        <v>0.102059325</v>
      </c>
      <c r="K189" s="15" t="n">
        <f aca="false">MIN(ABS(F189-$B$187), ABS(F189-180-$B$187), ABS(F189+180-$B$187))</f>
        <v>7.701818182</v>
      </c>
      <c r="L189" s="1" t="n">
        <f aca="false">C187/L187</f>
        <v>0.423826498921081</v>
      </c>
    </row>
    <row r="190" customFormat="false" ht="14.25" hidden="false" customHeight="false" outlineLevel="0" collapsed="false">
      <c r="F190" s="18" t="n">
        <v>-77.727272727</v>
      </c>
      <c r="G190" s="18" t="n">
        <v>0.050768673</v>
      </c>
      <c r="H190" s="28" t="n">
        <v>0.055975245</v>
      </c>
      <c r="K190" s="15" t="n">
        <f aca="false">MIN(ABS(F190-$B$187), ABS(F190-180-$B$187), ABS(F190+180-$B$187))</f>
        <v>11.792727273</v>
      </c>
    </row>
    <row r="191" customFormat="false" ht="14.25" hidden="false" customHeight="false" outlineLevel="0" collapsed="false">
      <c r="F191" s="18" t="n">
        <v>-73.636363636</v>
      </c>
      <c r="G191" s="18" t="n">
        <v>0.020570401</v>
      </c>
      <c r="H191" s="28" t="n">
        <v>0.028033309</v>
      </c>
      <c r="K191" s="15" t="n">
        <f aca="false">MIN(ABS(F191-$B$187), ABS(F191-180-$B$187), ABS(F191+180-$B$187))</f>
        <v>15.883636364</v>
      </c>
    </row>
    <row r="192" customFormat="false" ht="14.25" hidden="false" customHeight="false" outlineLevel="0" collapsed="false">
      <c r="F192" s="18" t="n">
        <v>-69.545454545</v>
      </c>
      <c r="G192" s="18" t="n">
        <v>0.013361502</v>
      </c>
      <c r="H192" s="28" t="n">
        <v>0.016526218</v>
      </c>
      <c r="K192" s="15" t="n">
        <f aca="false">MIN(ABS(F192-$B$187), ABS(F192-180-$B$187), ABS(F192+180-$B$187))</f>
        <v>19.974545455</v>
      </c>
    </row>
    <row r="193" customFormat="false" ht="14.25" hidden="false" customHeight="false" outlineLevel="0" collapsed="false">
      <c r="F193" s="18" t="n">
        <v>-65.454545455</v>
      </c>
      <c r="G193" s="18" t="n">
        <v>0.00920375</v>
      </c>
      <c r="H193" s="28" t="n">
        <v>0.013183763</v>
      </c>
      <c r="K193" s="15" t="n">
        <f aca="false">MIN(ABS(F193-$B$187), ABS(F193-180-$B$187), ABS(F193+180-$B$187))</f>
        <v>24.065454545</v>
      </c>
    </row>
    <row r="194" customFormat="false" ht="14.25" hidden="false" customHeight="false" outlineLevel="0" collapsed="false">
      <c r="F194" s="18" t="n">
        <v>-61.363636364</v>
      </c>
      <c r="G194" s="18" t="n">
        <v>0.006586324</v>
      </c>
      <c r="H194" s="28" t="n">
        <v>0.0124865</v>
      </c>
      <c r="K194" s="15" t="n">
        <f aca="false">MIN(ABS(F194-$B$187), ABS(F194-180-$B$187), ABS(F194+180-$B$187))</f>
        <v>28.156363636</v>
      </c>
    </row>
    <row r="195" customFormat="false" ht="14.25" hidden="false" customHeight="false" outlineLevel="0" collapsed="false">
      <c r="F195" s="18" t="n">
        <v>-57.272727273</v>
      </c>
      <c r="G195" s="18" t="n">
        <v>0.004677764</v>
      </c>
      <c r="H195" s="28" t="n">
        <v>0.012380994</v>
      </c>
      <c r="K195" s="15" t="n">
        <f aca="false">MIN(ABS(F195-$B$187), ABS(F195-180-$B$187), ABS(F195+180-$B$187))</f>
        <v>32.247272727</v>
      </c>
    </row>
    <row r="196" customFormat="false" ht="14.25" hidden="false" customHeight="false" outlineLevel="0" collapsed="false">
      <c r="F196" s="18" t="n">
        <v>-53.181818182</v>
      </c>
      <c r="G196" s="18" t="n">
        <v>0.004188731</v>
      </c>
      <c r="H196" s="28" t="n">
        <v>0.012369344</v>
      </c>
      <c r="K196" s="15" t="n">
        <f aca="false">MIN(ABS(F196-$B$187), ABS(F196-180-$B$187), ABS(F196+180-$B$187))</f>
        <v>36.338181818</v>
      </c>
    </row>
    <row r="197" customFormat="false" ht="14.25" hidden="false" customHeight="false" outlineLevel="0" collapsed="false">
      <c r="F197" s="18" t="n">
        <v>-49.090909091</v>
      </c>
      <c r="G197" s="18" t="n">
        <v>0.003322552</v>
      </c>
      <c r="H197" s="28" t="n">
        <v>0.012368402</v>
      </c>
      <c r="K197" s="15" t="n">
        <f aca="false">MIN(ABS(F197-$B$187), ABS(F197-180-$B$187), ABS(F197+180-$B$187))</f>
        <v>40.429090909</v>
      </c>
    </row>
    <row r="198" customFormat="false" ht="14.25" hidden="false" customHeight="false" outlineLevel="0" collapsed="false">
      <c r="F198" s="18" t="n">
        <v>-45</v>
      </c>
      <c r="G198" s="18" t="n">
        <v>0.003082853</v>
      </c>
      <c r="H198" s="28" t="n">
        <v>0.012368346</v>
      </c>
      <c r="K198" s="15" t="n">
        <f aca="false">MIN(ABS(F198-$B$187), ABS(F198-180-$B$187), ABS(F198+180-$B$187))</f>
        <v>44.52</v>
      </c>
    </row>
    <row r="199" customFormat="false" ht="14.25" hidden="false" customHeight="false" outlineLevel="0" collapsed="false">
      <c r="F199" s="18" t="n">
        <v>-40.909090909</v>
      </c>
      <c r="G199" s="18" t="n">
        <v>0.002565062</v>
      </c>
      <c r="H199" s="28" t="n">
        <v>0.012368343</v>
      </c>
      <c r="K199" s="15" t="n">
        <f aca="false">MIN(ABS(F199-$B$187), ABS(F199-180-$B$187), ABS(F199+180-$B$187))</f>
        <v>48.610909091</v>
      </c>
    </row>
    <row r="200" customFormat="false" ht="14.25" hidden="false" customHeight="false" outlineLevel="0" collapsed="false">
      <c r="F200" s="18" t="n">
        <v>-36.818181818</v>
      </c>
      <c r="G200" s="18" t="n">
        <v>0.002516806</v>
      </c>
      <c r="H200" s="28" t="n">
        <v>0.012368343</v>
      </c>
      <c r="K200" s="15" t="n">
        <f aca="false">MIN(ABS(F200-$B$187), ABS(F200-180-$B$187), ABS(F200+180-$B$187))</f>
        <v>52.701818182</v>
      </c>
    </row>
    <row r="201" customFormat="false" ht="14.25" hidden="false" customHeight="false" outlineLevel="0" collapsed="false">
      <c r="F201" s="18" t="n">
        <v>-32.727272727</v>
      </c>
      <c r="G201" s="18" t="n">
        <v>0.002204402</v>
      </c>
      <c r="H201" s="28" t="n">
        <v>0.012368343</v>
      </c>
      <c r="K201" s="15" t="n">
        <f aca="false">MIN(ABS(F201-$B$187), ABS(F201-180-$B$187), ABS(F201+180-$B$187))</f>
        <v>56.792727273</v>
      </c>
    </row>
    <row r="202" customFormat="false" ht="14.25" hidden="false" customHeight="false" outlineLevel="0" collapsed="false">
      <c r="F202" s="18" t="n">
        <v>-28.636363636</v>
      </c>
      <c r="G202" s="18" t="n">
        <v>0.002133791</v>
      </c>
      <c r="H202" s="28" t="n">
        <v>0.012368343</v>
      </c>
      <c r="K202" s="15" t="n">
        <f aca="false">MIN(ABS(F202-$B$187), ABS(F202-180-$B$187), ABS(F202+180-$B$187))</f>
        <v>60.883636364</v>
      </c>
    </row>
    <row r="203" customFormat="false" ht="14.25" hidden="false" customHeight="false" outlineLevel="0" collapsed="false">
      <c r="F203" s="18" t="n">
        <v>-24.545454545</v>
      </c>
      <c r="G203" s="18" t="n">
        <v>0.002047088</v>
      </c>
      <c r="H203" s="28" t="n">
        <v>0.012368343</v>
      </c>
      <c r="K203" s="15" t="n">
        <f aca="false">MIN(ABS(F203-$B$187), ABS(F203-180-$B$187), ABS(F203+180-$B$187))</f>
        <v>64.974545455</v>
      </c>
    </row>
    <row r="204" customFormat="false" ht="14.25" hidden="false" customHeight="false" outlineLevel="0" collapsed="false">
      <c r="F204" s="18" t="n">
        <v>-20.454545455</v>
      </c>
      <c r="G204" s="18" t="n">
        <v>0.00189724</v>
      </c>
      <c r="H204" s="28" t="n">
        <v>0.012368343</v>
      </c>
      <c r="K204" s="15" t="n">
        <f aca="false">MIN(ABS(F204-$B$187), ABS(F204-180-$B$187), ABS(F204+180-$B$187))</f>
        <v>69.065454545</v>
      </c>
    </row>
    <row r="205" customFormat="false" ht="14.25" hidden="false" customHeight="false" outlineLevel="0" collapsed="false">
      <c r="F205" s="18" t="n">
        <v>-16.363636364</v>
      </c>
      <c r="G205" s="18" t="n">
        <v>0.00187388</v>
      </c>
      <c r="H205" s="28" t="n">
        <v>0.012368343</v>
      </c>
      <c r="K205" s="15" t="n">
        <f aca="false">MIN(ABS(F205-$B$187), ABS(F205-180-$B$187), ABS(F205+180-$B$187))</f>
        <v>73.156363636</v>
      </c>
    </row>
    <row r="206" customFormat="false" ht="14.25" hidden="false" customHeight="false" outlineLevel="0" collapsed="false">
      <c r="F206" s="18" t="n">
        <v>-12.272727273</v>
      </c>
      <c r="G206" s="18" t="n">
        <v>0.002102981</v>
      </c>
      <c r="H206" s="28" t="n">
        <v>0.012368343</v>
      </c>
      <c r="K206" s="15" t="n">
        <f aca="false">MIN(ABS(F206-$B$187), ABS(F206-180-$B$187), ABS(F206+180-$B$187))</f>
        <v>77.247272727</v>
      </c>
    </row>
    <row r="207" customFormat="false" ht="14.25" hidden="false" customHeight="false" outlineLevel="0" collapsed="false">
      <c r="F207" s="18" t="n">
        <v>-8.181818182</v>
      </c>
      <c r="G207" s="18" t="n">
        <v>0.001958996</v>
      </c>
      <c r="H207" s="28" t="n">
        <v>0.012368343</v>
      </c>
      <c r="K207" s="15" t="n">
        <f aca="false">MIN(ABS(F207-$B$187), ABS(F207-180-$B$187), ABS(F207+180-$B$187))</f>
        <v>81.338181818</v>
      </c>
    </row>
    <row r="208" customFormat="false" ht="14.25" hidden="false" customHeight="false" outlineLevel="0" collapsed="false">
      <c r="F208" s="18" t="n">
        <v>-4.090909091</v>
      </c>
      <c r="G208" s="18" t="n">
        <v>0.001858766</v>
      </c>
      <c r="H208" s="28" t="n">
        <v>0.012368343</v>
      </c>
      <c r="K208" s="15" t="n">
        <f aca="false">MIN(ABS(F208-$B$187), ABS(F208-180-$B$187), ABS(F208+180-$B$187))</f>
        <v>85.429090909</v>
      </c>
    </row>
    <row r="209" customFormat="false" ht="14.25" hidden="false" customHeight="false" outlineLevel="0" collapsed="false">
      <c r="F209" s="18" t="n">
        <v>0</v>
      </c>
      <c r="G209" s="18" t="n">
        <v>0.001999326</v>
      </c>
      <c r="H209" s="28" t="n">
        <v>0.012368343</v>
      </c>
      <c r="K209" s="15" t="n">
        <f aca="false">MIN(ABS(F209-$B$187), ABS(F209-180-$B$187), ABS(F209+180-$B$187))</f>
        <v>89.52</v>
      </c>
    </row>
    <row r="210" customFormat="false" ht="14.25" hidden="false" customHeight="false" outlineLevel="0" collapsed="false">
      <c r="F210" s="18" t="n">
        <v>4.090909091</v>
      </c>
      <c r="G210" s="18" t="n">
        <v>0.001885082</v>
      </c>
      <c r="H210" s="28" t="n">
        <v>0.012368343</v>
      </c>
      <c r="K210" s="15" t="n">
        <f aca="false">MIN(ABS(F210-$B$187), ABS(F210-180-$B$187), ABS(F210+180-$B$187))</f>
        <v>86.389090909</v>
      </c>
    </row>
    <row r="211" customFormat="false" ht="14.25" hidden="false" customHeight="false" outlineLevel="0" collapsed="false">
      <c r="F211" s="18" t="n">
        <v>8.181818182</v>
      </c>
      <c r="G211" s="18" t="n">
        <v>0.00191525</v>
      </c>
      <c r="H211" s="28" t="n">
        <v>0.012368343</v>
      </c>
      <c r="K211" s="15" t="n">
        <f aca="false">MIN(ABS(F211-$B$187), ABS(F211-180-$B$187), ABS(F211+180-$B$187))</f>
        <v>82.298181818</v>
      </c>
    </row>
    <row r="212" customFormat="false" ht="14.25" hidden="false" customHeight="false" outlineLevel="0" collapsed="false">
      <c r="F212" s="18" t="n">
        <v>12.272727273</v>
      </c>
      <c r="G212" s="18" t="n">
        <v>0.001860398</v>
      </c>
      <c r="H212" s="28" t="n">
        <v>0.012368343</v>
      </c>
      <c r="K212" s="15" t="n">
        <f aca="false">MIN(ABS(F212-$B$187), ABS(F212-180-$B$187), ABS(F212+180-$B$187))</f>
        <v>78.207272727</v>
      </c>
    </row>
    <row r="213" customFormat="false" ht="14.25" hidden="false" customHeight="false" outlineLevel="0" collapsed="false">
      <c r="F213" s="18" t="n">
        <v>16.363636364</v>
      </c>
      <c r="G213" s="18" t="n">
        <v>0.001959851</v>
      </c>
      <c r="H213" s="28" t="n">
        <v>0.012368343</v>
      </c>
      <c r="K213" s="15" t="n">
        <f aca="false">MIN(ABS(F213-$B$187), ABS(F213-180-$B$187), ABS(F213+180-$B$187))</f>
        <v>74.116363636</v>
      </c>
    </row>
    <row r="214" customFormat="false" ht="14.25" hidden="false" customHeight="false" outlineLevel="0" collapsed="false">
      <c r="F214" s="18" t="n">
        <v>20.454545455</v>
      </c>
      <c r="G214" s="18" t="n">
        <v>0.002081902</v>
      </c>
      <c r="H214" s="28" t="n">
        <v>0.012368343</v>
      </c>
      <c r="K214" s="15" t="n">
        <f aca="false">MIN(ABS(F214-$B$187), ABS(F214-180-$B$187), ABS(F214+180-$B$187))</f>
        <v>70.025454545</v>
      </c>
    </row>
    <row r="215" customFormat="false" ht="14.25" hidden="false" customHeight="false" outlineLevel="0" collapsed="false">
      <c r="F215" s="18" t="n">
        <v>24.545454545</v>
      </c>
      <c r="G215" s="18" t="n">
        <v>0.002062425</v>
      </c>
      <c r="H215" s="28" t="n">
        <v>0.012368343</v>
      </c>
      <c r="K215" s="15" t="n">
        <f aca="false">MIN(ABS(F215-$B$187), ABS(F215-180-$B$187), ABS(F215+180-$B$187))</f>
        <v>65.934545455</v>
      </c>
    </row>
    <row r="216" customFormat="false" ht="14.25" hidden="false" customHeight="false" outlineLevel="0" collapsed="false">
      <c r="F216" s="18" t="n">
        <v>28.636363636</v>
      </c>
      <c r="G216" s="18" t="n">
        <v>0.002086145</v>
      </c>
      <c r="H216" s="28" t="n">
        <v>0.012368343</v>
      </c>
      <c r="K216" s="15" t="n">
        <f aca="false">MIN(ABS(F216-$B$187), ABS(F216-180-$B$187), ABS(F216+180-$B$187))</f>
        <v>61.843636364</v>
      </c>
    </row>
    <row r="217" customFormat="false" ht="14.25" hidden="false" customHeight="false" outlineLevel="0" collapsed="false">
      <c r="F217" s="18" t="n">
        <v>32.727272727</v>
      </c>
      <c r="G217" s="18" t="n">
        <v>0.002057248</v>
      </c>
      <c r="H217" s="28" t="n">
        <v>0.012368343</v>
      </c>
      <c r="K217" s="15" t="n">
        <f aca="false">MIN(ABS(F217-$B$187), ABS(F217-180-$B$187), ABS(F217+180-$B$187))</f>
        <v>57.752727273</v>
      </c>
    </row>
    <row r="218" customFormat="false" ht="14.25" hidden="false" customHeight="false" outlineLevel="0" collapsed="false">
      <c r="F218" s="18" t="n">
        <v>36.818181818</v>
      </c>
      <c r="G218" s="18" t="n">
        <v>0.002282881</v>
      </c>
      <c r="H218" s="28" t="n">
        <v>0.012368343</v>
      </c>
      <c r="K218" s="15" t="n">
        <f aca="false">MIN(ABS(F218-$B$187), ABS(F218-180-$B$187), ABS(F218+180-$B$187))</f>
        <v>53.661818182</v>
      </c>
    </row>
    <row r="219" customFormat="false" ht="14.25" hidden="false" customHeight="false" outlineLevel="0" collapsed="false">
      <c r="F219" s="18" t="n">
        <v>40.909090909</v>
      </c>
      <c r="G219" s="18" t="n">
        <v>0.002328088</v>
      </c>
      <c r="H219" s="28" t="n">
        <v>0.012368343</v>
      </c>
      <c r="K219" s="15" t="n">
        <f aca="false">MIN(ABS(F219-$B$187), ABS(F219-180-$B$187), ABS(F219+180-$B$187))</f>
        <v>49.570909091</v>
      </c>
    </row>
    <row r="220" customFormat="false" ht="14.25" hidden="false" customHeight="false" outlineLevel="0" collapsed="false">
      <c r="F220" s="18" t="n">
        <v>45</v>
      </c>
      <c r="G220" s="18" t="n">
        <v>0.002479089</v>
      </c>
      <c r="H220" s="28" t="n">
        <v>0.012368343</v>
      </c>
      <c r="K220" s="15" t="n">
        <f aca="false">MIN(ABS(F220-$B$187), ABS(F220-180-$B$187), ABS(F220+180-$B$187))</f>
        <v>45.48</v>
      </c>
    </row>
    <row r="221" customFormat="false" ht="14.25" hidden="false" customHeight="false" outlineLevel="0" collapsed="false">
      <c r="F221" s="18" t="n">
        <v>49.090909091</v>
      </c>
      <c r="G221" s="18" t="n">
        <v>0.002556265</v>
      </c>
      <c r="H221" s="28" t="n">
        <v>0.012368343</v>
      </c>
      <c r="K221" s="15" t="n">
        <f aca="false">MIN(ABS(F221-$B$187), ABS(F221-180-$B$187), ABS(F221+180-$B$187))</f>
        <v>41.389090909</v>
      </c>
    </row>
    <row r="222" customFormat="false" ht="14.25" hidden="false" customHeight="false" outlineLevel="0" collapsed="false">
      <c r="F222" s="18" t="n">
        <v>53.181818182</v>
      </c>
      <c r="G222" s="18" t="n">
        <v>0.002979162</v>
      </c>
      <c r="H222" s="28" t="n">
        <v>0.012368343</v>
      </c>
      <c r="K222" s="15" t="n">
        <f aca="false">MIN(ABS(F222-$B$187), ABS(F222-180-$B$187), ABS(F222+180-$B$187))</f>
        <v>37.298181818</v>
      </c>
    </row>
    <row r="223" customFormat="false" ht="14.25" hidden="false" customHeight="false" outlineLevel="0" collapsed="false">
      <c r="F223" s="18" t="n">
        <v>57.272727273</v>
      </c>
      <c r="G223" s="18" t="n">
        <v>0.003611588</v>
      </c>
      <c r="H223" s="28" t="n">
        <v>0.012368343</v>
      </c>
      <c r="K223" s="15" t="n">
        <f aca="false">MIN(ABS(F223-$B$187), ABS(F223-180-$B$187), ABS(F223+180-$B$187))</f>
        <v>33.207272727</v>
      </c>
    </row>
    <row r="224" customFormat="false" ht="14.25" hidden="false" customHeight="false" outlineLevel="0" collapsed="false">
      <c r="F224" s="18" t="n">
        <v>61.363636364</v>
      </c>
      <c r="G224" s="18" t="n">
        <v>0.004642041</v>
      </c>
      <c r="H224" s="28" t="n">
        <v>0.012368343</v>
      </c>
      <c r="K224" s="15" t="n">
        <f aca="false">MIN(ABS(F224-$B$187), ABS(F224-180-$B$187), ABS(F224+180-$B$187))</f>
        <v>29.116363636</v>
      </c>
    </row>
    <row r="225" customFormat="false" ht="14.25" hidden="false" customHeight="false" outlineLevel="0" collapsed="false">
      <c r="F225" s="18" t="n">
        <v>65.454545455</v>
      </c>
      <c r="G225" s="18" t="n">
        <v>0.005751156</v>
      </c>
      <c r="H225" s="28" t="n">
        <v>0.012368343</v>
      </c>
      <c r="K225" s="15" t="n">
        <f aca="false">MIN(ABS(F225-$B$187), ABS(F225-180-$B$187), ABS(F225+180-$B$187))</f>
        <v>25.025454545</v>
      </c>
    </row>
    <row r="226" customFormat="false" ht="14.25" hidden="false" customHeight="false" outlineLevel="0" collapsed="false">
      <c r="F226" s="18" t="n">
        <v>69.545454545</v>
      </c>
      <c r="G226" s="18" t="n">
        <v>0.009072519</v>
      </c>
      <c r="H226" s="28" t="n">
        <v>0.012368343</v>
      </c>
      <c r="K226" s="15" t="n">
        <f aca="false">MIN(ABS(F226-$B$187), ABS(F226-180-$B$187), ABS(F226+180-$B$187))</f>
        <v>20.934545455</v>
      </c>
    </row>
    <row r="227" customFormat="false" ht="14.25" hidden="false" customHeight="false" outlineLevel="0" collapsed="false">
      <c r="F227" s="18" t="n">
        <v>73.636363636</v>
      </c>
      <c r="G227" s="18" t="n">
        <v>0.011854243</v>
      </c>
      <c r="H227" s="28" t="n">
        <v>0.012368343</v>
      </c>
      <c r="K227" s="15" t="n">
        <f aca="false">MIN(ABS(F227-$B$187), ABS(F227-180-$B$187), ABS(F227+180-$B$187))</f>
        <v>16.843636364</v>
      </c>
    </row>
    <row r="228" customFormat="false" ht="14.25" hidden="false" customHeight="false" outlineLevel="0" collapsed="false">
      <c r="F228" s="18" t="n">
        <v>77.727272727</v>
      </c>
      <c r="G228" s="18" t="n">
        <v>0.022692206</v>
      </c>
      <c r="H228" s="28" t="n">
        <v>0.012368343</v>
      </c>
      <c r="K228" s="15" t="n">
        <f aca="false">MIN(ABS(F228-$B$187), ABS(F228-180-$B$187), ABS(F228+180-$B$187))</f>
        <v>12.752727273</v>
      </c>
    </row>
    <row r="229" s="19" customFormat="true" ht="14.25" hidden="false" customHeight="false" outlineLevel="0" collapsed="false">
      <c r="A229" s="1"/>
      <c r="B229" s="1"/>
      <c r="C229" s="1"/>
      <c r="D229" s="1"/>
      <c r="E229" s="1"/>
      <c r="F229" s="18" t="n">
        <v>81.818181818</v>
      </c>
      <c r="G229" s="18" t="n">
        <v>0.051617153</v>
      </c>
      <c r="H229" s="28" t="n">
        <v>0.012368343</v>
      </c>
      <c r="I229" s="1"/>
      <c r="J229" s="1"/>
      <c r="K229" s="15" t="n">
        <f aca="false">MIN(ABS(F229-$B$187), ABS(F229-180-$B$187), ABS(F229+180-$B$187))</f>
        <v>8.66181818200001</v>
      </c>
      <c r="L229" s="1"/>
      <c r="M229" s="1"/>
    </row>
    <row r="230" customFormat="false" ht="14.25" hidden="false" customHeight="false" outlineLevel="0" collapsed="false">
      <c r="F230" s="18" t="n">
        <v>85.909090909</v>
      </c>
      <c r="G230" s="18" t="n">
        <v>0.129032564</v>
      </c>
      <c r="H230" s="28" t="n">
        <v>0.012368343</v>
      </c>
      <c r="K230" s="15" t="n">
        <f aca="false">MIN(ABS(F230-$B$187), ABS(F230-180-$B$187), ABS(F230+180-$B$187))</f>
        <v>4.570909091</v>
      </c>
    </row>
    <row r="231" customFormat="false" ht="14.25" hidden="false" customHeight="false" outlineLevel="0" collapsed="false">
      <c r="A231" s="19"/>
      <c r="B231" s="19"/>
      <c r="C231" s="19"/>
      <c r="D231" s="19"/>
      <c r="E231" s="19"/>
      <c r="F231" s="32" t="n">
        <v>90</v>
      </c>
      <c r="G231" s="32" t="n">
        <v>0.170006908</v>
      </c>
      <c r="H231" s="33" t="n">
        <v>0.012368343</v>
      </c>
      <c r="I231" s="19"/>
      <c r="J231" s="19"/>
      <c r="K231" s="15" t="n">
        <f aca="false">MIN(ABS(F231-$B$187), ABS(F231-180-$B$187), ABS(F231+180-$B$187))</f>
        <v>0.480000000000004</v>
      </c>
      <c r="L231" s="19"/>
      <c r="M231" s="19"/>
    </row>
    <row r="232" customFormat="false" ht="14.25" hidden="false" customHeight="false" outlineLevel="0" collapsed="false">
      <c r="A232" s="14" t="n">
        <v>20241115</v>
      </c>
      <c r="B232" s="14" t="n">
        <v>-89.65</v>
      </c>
      <c r="C232" s="14" t="n">
        <v>5.47</v>
      </c>
      <c r="D232" s="14" t="n">
        <v>0.45</v>
      </c>
      <c r="E232" s="14" t="n">
        <v>0.53</v>
      </c>
      <c r="F232" s="18" t="n">
        <v>-90</v>
      </c>
      <c r="G232" s="18" t="n">
        <v>0.203185678</v>
      </c>
      <c r="H232" s="28" t="n">
        <v>0.203883567</v>
      </c>
      <c r="K232" s="15" t="n">
        <f aca="false">MIN(ABS(F232-$B$232), ABS(F232-180-$B$232), ABS(F232+180-$B$232))</f>
        <v>0.349999999999994</v>
      </c>
      <c r="L232" s="16" t="n">
        <f aca="false" t="array" ref="L232:L232">SQRT(SUMPRODUCT(G232:G276,K232:K276*K232:K276))</f>
        <v>19.927312504052</v>
      </c>
      <c r="M232" s="3" t="n">
        <f aca="false" t="array" ref="M232:M232">SUMPRODUCT(G232:G276,ABS(K232:K276))</f>
        <v>9.75635553814991</v>
      </c>
    </row>
    <row r="233" customFormat="false" ht="14.25" hidden="false" customHeight="false" outlineLevel="0" collapsed="false">
      <c r="F233" s="18" t="n">
        <v>-85.909090909</v>
      </c>
      <c r="G233" s="18" t="n">
        <v>0.167055178</v>
      </c>
      <c r="H233" s="28" t="n">
        <v>0.164435608</v>
      </c>
      <c r="K233" s="15" t="n">
        <f aca="false">MIN(ABS(F233-$B$232), ABS(F233-180-$B$232), ABS(F233+180-$B$232))</f>
        <v>3.74090909100001</v>
      </c>
    </row>
    <row r="234" customFormat="false" ht="14.25" hidden="false" customHeight="false" outlineLevel="0" collapsed="false">
      <c r="F234" s="18" t="n">
        <v>-81.818181818</v>
      </c>
      <c r="G234" s="18" t="n">
        <v>0.075853693</v>
      </c>
      <c r="H234" s="28" t="n">
        <v>0.08153387</v>
      </c>
      <c r="K234" s="15" t="n">
        <f aca="false">MIN(ABS(F234-$B$232), ABS(F234-180-$B$232), ABS(F234+180-$B$232))</f>
        <v>7.83181818200001</v>
      </c>
      <c r="L234" s="1" t="n">
        <f aca="false">C232/L232</f>
        <v>0.274497627258454</v>
      </c>
    </row>
    <row r="235" customFormat="false" ht="14.25" hidden="false" customHeight="false" outlineLevel="0" collapsed="false">
      <c r="F235" s="18" t="n">
        <v>-77.727272727</v>
      </c>
      <c r="G235" s="18" t="n">
        <v>0.037387849</v>
      </c>
      <c r="H235" s="28" t="n">
        <v>0.030501831</v>
      </c>
      <c r="K235" s="15" t="n">
        <f aca="false">MIN(ABS(F235-$B$232), ABS(F235-180-$B$232), ABS(F235+180-$B$232))</f>
        <v>11.922727273</v>
      </c>
    </row>
    <row r="236" customFormat="false" ht="14.25" hidden="false" customHeight="false" outlineLevel="0" collapsed="false">
      <c r="F236" s="18" t="n">
        <v>-73.636363636</v>
      </c>
      <c r="G236" s="18" t="n">
        <v>0.016988528</v>
      </c>
      <c r="H236" s="28" t="n">
        <v>0.015261693</v>
      </c>
      <c r="K236" s="15" t="n">
        <f aca="false">MIN(ABS(F236-$B$232), ABS(F236-180-$B$232), ABS(F236+180-$B$232))</f>
        <v>16.013636364</v>
      </c>
    </row>
    <row r="237" customFormat="false" ht="14.25" hidden="false" customHeight="false" outlineLevel="0" collapsed="false">
      <c r="F237" s="18" t="n">
        <v>-69.545454545</v>
      </c>
      <c r="G237" s="18" t="n">
        <v>0.010680339</v>
      </c>
      <c r="H237" s="28" t="n">
        <v>0.012829429</v>
      </c>
      <c r="K237" s="15" t="n">
        <f aca="false">MIN(ABS(F237-$B$232), ABS(F237-180-$B$232), ABS(F237+180-$B$232))</f>
        <v>20.104545455</v>
      </c>
    </row>
    <row r="238" customFormat="false" ht="14.25" hidden="false" customHeight="false" outlineLevel="0" collapsed="false">
      <c r="F238" s="18" t="n">
        <v>-65.454545455</v>
      </c>
      <c r="G238" s="18" t="n">
        <v>0.007480968</v>
      </c>
      <c r="H238" s="28" t="n">
        <v>0.012614627</v>
      </c>
      <c r="K238" s="15" t="n">
        <f aca="false">MIN(ABS(F238-$B$232), ABS(F238-180-$B$232), ABS(F238+180-$B$232))</f>
        <v>24.195454545</v>
      </c>
    </row>
    <row r="239" customFormat="false" ht="14.25" hidden="false" customHeight="false" outlineLevel="0" collapsed="false">
      <c r="F239" s="18" t="n">
        <v>-61.363636364</v>
      </c>
      <c r="G239" s="18" t="n">
        <v>0.006321262</v>
      </c>
      <c r="H239" s="28" t="n">
        <v>0.012603964</v>
      </c>
      <c r="K239" s="15" t="n">
        <f aca="false">MIN(ABS(F239-$B$232), ABS(F239-180-$B$232), ABS(F239+180-$B$232))</f>
        <v>28.286363636</v>
      </c>
    </row>
    <row r="240" customFormat="false" ht="14.25" hidden="false" customHeight="false" outlineLevel="0" collapsed="false">
      <c r="F240" s="18" t="n">
        <v>-57.272727273</v>
      </c>
      <c r="G240" s="18" t="n">
        <v>0.00541997</v>
      </c>
      <c r="H240" s="28" t="n">
        <v>0.012603664</v>
      </c>
      <c r="K240" s="15" t="n">
        <f aca="false">MIN(ABS(F240-$B$232), ABS(F240-180-$B$232), ABS(F240+180-$B$232))</f>
        <v>32.377272727</v>
      </c>
    </row>
    <row r="241" customFormat="false" ht="14.25" hidden="false" customHeight="false" outlineLevel="0" collapsed="false">
      <c r="F241" s="18" t="n">
        <v>-53.181818182</v>
      </c>
      <c r="G241" s="18" t="n">
        <v>0.004706277</v>
      </c>
      <c r="H241" s="28" t="n">
        <v>0.01260366</v>
      </c>
      <c r="K241" s="15" t="n">
        <f aca="false">MIN(ABS(F241-$B$232), ABS(F241-180-$B$232), ABS(F241+180-$B$232))</f>
        <v>36.468181818</v>
      </c>
    </row>
    <row r="242" customFormat="false" ht="14.25" hidden="false" customHeight="false" outlineLevel="0" collapsed="false">
      <c r="F242" s="18" t="n">
        <v>-49.090909091</v>
      </c>
      <c r="G242" s="18" t="n">
        <v>0.003925211</v>
      </c>
      <c r="H242" s="28" t="n">
        <v>0.01260366</v>
      </c>
      <c r="K242" s="15" t="n">
        <f aca="false">MIN(ABS(F242-$B$232), ABS(F242-180-$B$232), ABS(F242+180-$B$232))</f>
        <v>40.559090909</v>
      </c>
    </row>
    <row r="243" customFormat="false" ht="14.25" hidden="false" customHeight="false" outlineLevel="0" collapsed="false">
      <c r="F243" s="18" t="n">
        <v>-45</v>
      </c>
      <c r="G243" s="18" t="n">
        <v>0.004048832</v>
      </c>
      <c r="H243" s="28" t="n">
        <v>0.01260366</v>
      </c>
      <c r="K243" s="15" t="n">
        <f aca="false">MIN(ABS(F243-$B$232), ABS(F243-180-$B$232), ABS(F243+180-$B$232))</f>
        <v>44.65</v>
      </c>
    </row>
    <row r="244" customFormat="false" ht="14.25" hidden="false" customHeight="false" outlineLevel="0" collapsed="false">
      <c r="F244" s="18" t="n">
        <v>-40.909090909</v>
      </c>
      <c r="G244" s="18" t="n">
        <v>0.003268503</v>
      </c>
      <c r="H244" s="28" t="n">
        <v>0.01260366</v>
      </c>
      <c r="K244" s="15" t="n">
        <f aca="false">MIN(ABS(F244-$B$232), ABS(F244-180-$B$232), ABS(F244+180-$B$232))</f>
        <v>48.740909091</v>
      </c>
    </row>
    <row r="245" customFormat="false" ht="14.25" hidden="false" customHeight="false" outlineLevel="0" collapsed="false">
      <c r="F245" s="18" t="n">
        <v>-36.818181818</v>
      </c>
      <c r="G245" s="18" t="n">
        <v>0.003588664</v>
      </c>
      <c r="H245" s="28" t="n">
        <v>0.01260366</v>
      </c>
      <c r="K245" s="15" t="n">
        <f aca="false">MIN(ABS(F245-$B$232), ABS(F245-180-$B$232), ABS(F245+180-$B$232))</f>
        <v>52.831818182</v>
      </c>
    </row>
    <row r="246" customFormat="false" ht="14.25" hidden="false" customHeight="false" outlineLevel="0" collapsed="false">
      <c r="F246" s="18" t="n">
        <v>-32.727272727</v>
      </c>
      <c r="G246" s="18" t="n">
        <v>0.003098846</v>
      </c>
      <c r="H246" s="28" t="n">
        <v>0.01260366</v>
      </c>
      <c r="K246" s="15" t="n">
        <f aca="false">MIN(ABS(F246-$B$232), ABS(F246-180-$B$232), ABS(F246+180-$B$232))</f>
        <v>56.922727273</v>
      </c>
    </row>
    <row r="247" customFormat="false" ht="14.25" hidden="false" customHeight="false" outlineLevel="0" collapsed="false">
      <c r="F247" s="18" t="n">
        <v>-28.636363636</v>
      </c>
      <c r="G247" s="18" t="n">
        <v>0.00305826</v>
      </c>
      <c r="H247" s="28" t="n">
        <v>0.01260366</v>
      </c>
      <c r="K247" s="15" t="n">
        <f aca="false">MIN(ABS(F247-$B$232), ABS(F247-180-$B$232), ABS(F247+180-$B$232))</f>
        <v>61.013636364</v>
      </c>
    </row>
    <row r="248" customFormat="false" ht="14.25" hidden="false" customHeight="false" outlineLevel="0" collapsed="false">
      <c r="F248" s="18" t="n">
        <v>-24.545454545</v>
      </c>
      <c r="G248" s="18" t="n">
        <v>0.002949475</v>
      </c>
      <c r="H248" s="28" t="n">
        <v>0.01260366</v>
      </c>
      <c r="K248" s="15" t="n">
        <f aca="false">MIN(ABS(F248-$B$232), ABS(F248-180-$B$232), ABS(F248+180-$B$232))</f>
        <v>65.104545455</v>
      </c>
    </row>
    <row r="249" customFormat="false" ht="14.25" hidden="false" customHeight="false" outlineLevel="0" collapsed="false">
      <c r="F249" s="18" t="n">
        <v>-20.454545455</v>
      </c>
      <c r="G249" s="18" t="n">
        <v>0.002799534</v>
      </c>
      <c r="H249" s="28" t="n">
        <v>0.01260366</v>
      </c>
      <c r="K249" s="15" t="n">
        <f aca="false">MIN(ABS(F249-$B$232), ABS(F249-180-$B$232), ABS(F249+180-$B$232))</f>
        <v>69.195454545</v>
      </c>
    </row>
    <row r="250" customFormat="false" ht="14.25" hidden="false" customHeight="false" outlineLevel="0" collapsed="false">
      <c r="F250" s="18" t="n">
        <v>-16.363636364</v>
      </c>
      <c r="G250" s="18" t="n">
        <v>0.002718885</v>
      </c>
      <c r="H250" s="28" t="n">
        <v>0.01260366</v>
      </c>
      <c r="K250" s="15" t="n">
        <f aca="false">MIN(ABS(F250-$B$232), ABS(F250-180-$B$232), ABS(F250+180-$B$232))</f>
        <v>73.286363636</v>
      </c>
    </row>
    <row r="251" customFormat="false" ht="14.25" hidden="false" customHeight="false" outlineLevel="0" collapsed="false">
      <c r="F251" s="18" t="n">
        <v>-12.272727273</v>
      </c>
      <c r="G251" s="18" t="n">
        <v>0.002822146</v>
      </c>
      <c r="H251" s="28" t="n">
        <v>0.01260366</v>
      </c>
      <c r="K251" s="15" t="n">
        <f aca="false">MIN(ABS(F251-$B$232), ABS(F251-180-$B$232), ABS(F251+180-$B$232))</f>
        <v>77.377272727</v>
      </c>
    </row>
    <row r="252" customFormat="false" ht="14.25" hidden="false" customHeight="false" outlineLevel="0" collapsed="false">
      <c r="F252" s="18" t="n">
        <v>-8.181818182</v>
      </c>
      <c r="G252" s="18" t="n">
        <v>0.002802633</v>
      </c>
      <c r="H252" s="28" t="n">
        <v>0.01260366</v>
      </c>
      <c r="K252" s="15" t="n">
        <f aca="false">MIN(ABS(F252-$B$232), ABS(F252-180-$B$232), ABS(F252+180-$B$232))</f>
        <v>81.468181818</v>
      </c>
    </row>
    <row r="253" customFormat="false" ht="14.25" hidden="false" customHeight="false" outlineLevel="0" collapsed="false">
      <c r="F253" s="18" t="n">
        <v>-4.090909091</v>
      </c>
      <c r="G253" s="18" t="n">
        <v>0.002578249</v>
      </c>
      <c r="H253" s="28" t="n">
        <v>0.01260366</v>
      </c>
      <c r="K253" s="15" t="n">
        <f aca="false">MIN(ABS(F253-$B$232), ABS(F253-180-$B$232), ABS(F253+180-$B$232))</f>
        <v>85.559090909</v>
      </c>
    </row>
    <row r="254" customFormat="false" ht="14.25" hidden="false" customHeight="false" outlineLevel="0" collapsed="false">
      <c r="F254" s="18" t="n">
        <v>0</v>
      </c>
      <c r="G254" s="18" t="n">
        <v>0.003206034</v>
      </c>
      <c r="H254" s="28" t="n">
        <v>0.01260366</v>
      </c>
      <c r="K254" s="15" t="n">
        <f aca="false">MIN(ABS(F254-$B$232), ABS(F254-180-$B$232), ABS(F254+180-$B$232))</f>
        <v>89.65</v>
      </c>
    </row>
    <row r="255" customFormat="false" ht="14.25" hidden="false" customHeight="false" outlineLevel="0" collapsed="false">
      <c r="F255" s="18" t="n">
        <v>4.090909091</v>
      </c>
      <c r="G255" s="18" t="n">
        <v>0.002632819</v>
      </c>
      <c r="H255" s="28" t="n">
        <v>0.01260366</v>
      </c>
      <c r="K255" s="15" t="n">
        <f aca="false">MIN(ABS(F255-$B$232), ABS(F255-180-$B$232), ABS(F255+180-$B$232))</f>
        <v>86.259090909</v>
      </c>
    </row>
    <row r="256" customFormat="false" ht="14.25" hidden="false" customHeight="false" outlineLevel="0" collapsed="false">
      <c r="F256" s="18" t="n">
        <v>8.181818182</v>
      </c>
      <c r="G256" s="18" t="n">
        <v>0.002586554</v>
      </c>
      <c r="H256" s="28" t="n">
        <v>0.01260366</v>
      </c>
      <c r="K256" s="15" t="n">
        <f aca="false">MIN(ABS(F256-$B$232), ABS(F256-180-$B$232), ABS(F256+180-$B$232))</f>
        <v>82.168181818</v>
      </c>
    </row>
    <row r="257" customFormat="false" ht="14.25" hidden="false" customHeight="false" outlineLevel="0" collapsed="false">
      <c r="F257" s="18" t="n">
        <v>12.272727273</v>
      </c>
      <c r="G257" s="18" t="n">
        <v>0.002706324</v>
      </c>
      <c r="H257" s="28" t="n">
        <v>0.01260366</v>
      </c>
      <c r="K257" s="15" t="n">
        <f aca="false">MIN(ABS(F257-$B$232), ABS(F257-180-$B$232), ABS(F257+180-$B$232))</f>
        <v>78.077272727</v>
      </c>
    </row>
    <row r="258" customFormat="false" ht="14.25" hidden="false" customHeight="false" outlineLevel="0" collapsed="false">
      <c r="F258" s="18" t="n">
        <v>16.363636364</v>
      </c>
      <c r="G258" s="18" t="n">
        <v>0.002713753</v>
      </c>
      <c r="H258" s="28" t="n">
        <v>0.01260366</v>
      </c>
      <c r="K258" s="15" t="n">
        <f aca="false">MIN(ABS(F258-$B$232), ABS(F258-180-$B$232), ABS(F258+180-$B$232))</f>
        <v>73.986363636</v>
      </c>
    </row>
    <row r="259" customFormat="false" ht="14.25" hidden="false" customHeight="false" outlineLevel="0" collapsed="false">
      <c r="F259" s="18" t="n">
        <v>20.454545455</v>
      </c>
      <c r="G259" s="18" t="n">
        <v>0.002805314</v>
      </c>
      <c r="H259" s="28" t="n">
        <v>0.01260366</v>
      </c>
      <c r="K259" s="15" t="n">
        <f aca="false">MIN(ABS(F259-$B$232), ABS(F259-180-$B$232), ABS(F259+180-$B$232))</f>
        <v>69.895454545</v>
      </c>
    </row>
    <row r="260" customFormat="false" ht="14.25" hidden="false" customHeight="false" outlineLevel="0" collapsed="false">
      <c r="F260" s="18" t="n">
        <v>24.545454545</v>
      </c>
      <c r="G260" s="18" t="n">
        <v>0.002811003</v>
      </c>
      <c r="H260" s="28" t="n">
        <v>0.01260366</v>
      </c>
      <c r="K260" s="15" t="n">
        <f aca="false">MIN(ABS(F260-$B$232), ABS(F260-180-$B$232), ABS(F260+180-$B$232))</f>
        <v>65.804545455</v>
      </c>
    </row>
    <row r="261" customFormat="false" ht="14.25" hidden="false" customHeight="false" outlineLevel="0" collapsed="false">
      <c r="F261" s="18" t="n">
        <v>28.636363636</v>
      </c>
      <c r="G261" s="18" t="n">
        <v>0.003031396</v>
      </c>
      <c r="H261" s="28" t="n">
        <v>0.01260366</v>
      </c>
      <c r="K261" s="15" t="n">
        <f aca="false">MIN(ABS(F261-$B$232), ABS(F261-180-$B$232), ABS(F261+180-$B$232))</f>
        <v>61.713636364</v>
      </c>
    </row>
    <row r="262" customFormat="false" ht="14.25" hidden="false" customHeight="false" outlineLevel="0" collapsed="false">
      <c r="F262" s="18" t="n">
        <v>32.727272727</v>
      </c>
      <c r="G262" s="18" t="n">
        <v>0.003127586</v>
      </c>
      <c r="H262" s="28" t="n">
        <v>0.01260366</v>
      </c>
      <c r="K262" s="15" t="n">
        <f aca="false">MIN(ABS(F262-$B$232), ABS(F262-180-$B$232), ABS(F262+180-$B$232))</f>
        <v>57.622727273</v>
      </c>
    </row>
    <row r="263" customFormat="false" ht="14.25" hidden="false" customHeight="false" outlineLevel="0" collapsed="false">
      <c r="F263" s="18" t="n">
        <v>36.818181818</v>
      </c>
      <c r="G263" s="18" t="n">
        <v>0.003474076</v>
      </c>
      <c r="H263" s="28" t="n">
        <v>0.01260366</v>
      </c>
      <c r="K263" s="15" t="n">
        <f aca="false">MIN(ABS(F263-$B$232), ABS(F263-180-$B$232), ABS(F263+180-$B$232))</f>
        <v>53.531818182</v>
      </c>
    </row>
    <row r="264" customFormat="false" ht="14.25" hidden="false" customHeight="false" outlineLevel="0" collapsed="false">
      <c r="F264" s="18" t="n">
        <v>40.909090909</v>
      </c>
      <c r="G264" s="18" t="n">
        <v>0.003189263</v>
      </c>
      <c r="H264" s="28" t="n">
        <v>0.01260366</v>
      </c>
      <c r="K264" s="15" t="n">
        <f aca="false">MIN(ABS(F264-$B$232), ABS(F264-180-$B$232), ABS(F264+180-$B$232))</f>
        <v>49.440909091</v>
      </c>
    </row>
    <row r="265" customFormat="false" ht="14.25" hidden="false" customHeight="false" outlineLevel="0" collapsed="false">
      <c r="F265" s="18" t="n">
        <v>45</v>
      </c>
      <c r="G265" s="18" t="n">
        <v>0.003364869</v>
      </c>
      <c r="H265" s="28" t="n">
        <v>0.01260366</v>
      </c>
      <c r="K265" s="15" t="n">
        <f aca="false">MIN(ABS(F265-$B$232), ABS(F265-180-$B$232), ABS(F265+180-$B$232))</f>
        <v>45.35</v>
      </c>
    </row>
    <row r="266" customFormat="false" ht="14.25" hidden="false" customHeight="false" outlineLevel="0" collapsed="false">
      <c r="F266" s="18" t="n">
        <v>49.090909091</v>
      </c>
      <c r="G266" s="18" t="n">
        <v>0.003698459</v>
      </c>
      <c r="H266" s="28" t="n">
        <v>0.01260366</v>
      </c>
      <c r="K266" s="15" t="n">
        <f aca="false">MIN(ABS(F266-$B$232), ABS(F266-180-$B$232), ABS(F266+180-$B$232))</f>
        <v>41.259090909</v>
      </c>
    </row>
    <row r="267" customFormat="false" ht="14.25" hidden="false" customHeight="false" outlineLevel="0" collapsed="false">
      <c r="F267" s="18" t="n">
        <v>53.181818182</v>
      </c>
      <c r="G267" s="18" t="n">
        <v>0.004384617</v>
      </c>
      <c r="H267" s="28" t="n">
        <v>0.01260366</v>
      </c>
      <c r="K267" s="15" t="n">
        <f aca="false">MIN(ABS(F267-$B$232), ABS(F267-180-$B$232), ABS(F267+180-$B$232))</f>
        <v>37.168181818</v>
      </c>
    </row>
    <row r="268" customFormat="false" ht="14.25" hidden="false" customHeight="false" outlineLevel="0" collapsed="false">
      <c r="F268" s="18" t="n">
        <v>57.272727273</v>
      </c>
      <c r="G268" s="18" t="n">
        <v>0.004675563</v>
      </c>
      <c r="H268" s="28" t="n">
        <v>0.01260366</v>
      </c>
      <c r="K268" s="15" t="n">
        <f aca="false">MIN(ABS(F268-$B$232), ABS(F268-180-$B$232), ABS(F268+180-$B$232))</f>
        <v>33.077272727</v>
      </c>
    </row>
    <row r="269" customFormat="false" ht="14.25" hidden="false" customHeight="false" outlineLevel="0" collapsed="false">
      <c r="F269" s="18" t="n">
        <v>61.363636364</v>
      </c>
      <c r="G269" s="18" t="n">
        <v>0.005146763</v>
      </c>
      <c r="H269" s="28" t="n">
        <v>0.01260366</v>
      </c>
      <c r="K269" s="15" t="n">
        <f aca="false">MIN(ABS(F269-$B$232), ABS(F269-180-$B$232), ABS(F269+180-$B$232))</f>
        <v>28.986363636</v>
      </c>
    </row>
    <row r="270" customFormat="false" ht="14.25" hidden="false" customHeight="false" outlineLevel="0" collapsed="false">
      <c r="F270" s="18" t="n">
        <v>65.454545455</v>
      </c>
      <c r="G270" s="18" t="n">
        <v>0.005771013</v>
      </c>
      <c r="H270" s="28" t="n">
        <v>0.01260366</v>
      </c>
      <c r="K270" s="15" t="n">
        <f aca="false">MIN(ABS(F270-$B$232), ABS(F270-180-$B$232), ABS(F270+180-$B$232))</f>
        <v>24.895454545</v>
      </c>
    </row>
    <row r="271" customFormat="false" ht="14.25" hidden="false" customHeight="false" outlineLevel="0" collapsed="false">
      <c r="F271" s="18" t="n">
        <v>69.545454545</v>
      </c>
      <c r="G271" s="18" t="n">
        <v>0.008172155</v>
      </c>
      <c r="H271" s="28" t="n">
        <v>0.01260366</v>
      </c>
      <c r="K271" s="15" t="n">
        <f aca="false">MIN(ABS(F271-$B$232), ABS(F271-180-$B$232), ABS(F271+180-$B$232))</f>
        <v>20.804545455</v>
      </c>
    </row>
    <row r="272" customFormat="false" ht="14.25" hidden="false" customHeight="false" outlineLevel="0" collapsed="false">
      <c r="F272" s="18" t="n">
        <v>73.636363636</v>
      </c>
      <c r="G272" s="18" t="n">
        <v>0.010913858</v>
      </c>
      <c r="H272" s="28" t="n">
        <v>0.01260366</v>
      </c>
      <c r="K272" s="15" t="n">
        <f aca="false">MIN(ABS(F272-$B$232), ABS(F272-180-$B$232), ABS(F272+180-$B$232))</f>
        <v>16.713636364</v>
      </c>
    </row>
    <row r="273" customFormat="false" ht="14.25" hidden="false" customHeight="false" outlineLevel="0" collapsed="false">
      <c r="F273" s="18" t="n">
        <v>77.727272727</v>
      </c>
      <c r="G273" s="18" t="n">
        <v>0.018889647</v>
      </c>
      <c r="H273" s="28" t="n">
        <v>0.01260366</v>
      </c>
      <c r="K273" s="15" t="n">
        <f aca="false">MIN(ABS(F273-$B$232), ABS(F273-180-$B$232), ABS(F273+180-$B$232))</f>
        <v>12.622727273</v>
      </c>
    </row>
    <row r="274" s="19" customFormat="true" ht="14.25" hidden="false" customHeight="false" outlineLevel="0" collapsed="false">
      <c r="A274" s="1"/>
      <c r="B274" s="1"/>
      <c r="C274" s="1"/>
      <c r="D274" s="1"/>
      <c r="E274" s="1"/>
      <c r="F274" s="18" t="n">
        <v>81.818181818</v>
      </c>
      <c r="G274" s="18" t="n">
        <v>0.036864401</v>
      </c>
      <c r="H274" s="28" t="n">
        <v>0.01260366</v>
      </c>
      <c r="I274" s="1"/>
      <c r="J274" s="1"/>
      <c r="K274" s="15" t="n">
        <f aca="false">MIN(ABS(F274-$B$232), ABS(F274-180-$B$232), ABS(F274+180-$B$232))</f>
        <v>8.531818182</v>
      </c>
      <c r="L274" s="1"/>
      <c r="M274" s="1"/>
    </row>
    <row r="275" customFormat="false" ht="14.25" hidden="false" customHeight="false" outlineLevel="0" collapsed="false">
      <c r="F275" s="18" t="n">
        <v>85.909090909</v>
      </c>
      <c r="G275" s="18" t="n">
        <v>0.089909874</v>
      </c>
      <c r="H275" s="28" t="n">
        <v>0.01260366</v>
      </c>
      <c r="K275" s="15" t="n">
        <f aca="false">MIN(ABS(F275-$B$232), ABS(F275-180-$B$232), ABS(F275+180-$B$232))</f>
        <v>4.440909091</v>
      </c>
    </row>
    <row r="276" customFormat="false" ht="14.25" hidden="false" customHeight="false" outlineLevel="0" collapsed="false">
      <c r="A276" s="19"/>
      <c r="B276" s="19"/>
      <c r="C276" s="19"/>
      <c r="D276" s="19"/>
      <c r="E276" s="19"/>
      <c r="F276" s="32" t="n">
        <v>90</v>
      </c>
      <c r="G276" s="32" t="n">
        <v>0.203185678</v>
      </c>
      <c r="H276" s="33" t="n">
        <v>0.01260366</v>
      </c>
      <c r="I276" s="19"/>
      <c r="J276" s="19"/>
      <c r="K276" s="15" t="n">
        <f aca="false">MIN(ABS(F276-$B$232), ABS(F276-180-$B$232), ABS(F276+180-$B$232))</f>
        <v>0.349999999999994</v>
      </c>
      <c r="L276" s="19"/>
      <c r="M276" s="19"/>
    </row>
    <row r="277" customFormat="false" ht="14.25" hidden="false" customHeight="false" outlineLevel="0" collapsed="false">
      <c r="A277" s="14" t="n">
        <v>20241115</v>
      </c>
      <c r="B277" s="14" t="n">
        <v>-86.09</v>
      </c>
      <c r="C277" s="14" t="n">
        <v>6.76</v>
      </c>
      <c r="D277" s="14" t="n">
        <v>0.57</v>
      </c>
      <c r="E277" s="14" t="n">
        <v>0.68</v>
      </c>
      <c r="F277" s="18" t="n">
        <v>-90</v>
      </c>
      <c r="G277" s="18" t="n">
        <v>0.149573723</v>
      </c>
      <c r="H277" s="28" t="n">
        <v>0.144367251</v>
      </c>
      <c r="K277" s="15" t="n">
        <f aca="false">MIN(ABS(F277-$B$277), ABS(F277-180-$B$277), ABS(F277+180-$B$277))</f>
        <v>3.91</v>
      </c>
      <c r="L277" s="16" t="n">
        <f aca="false" t="array" ref="L277:L277">SQRT(SUMPRODUCT(G277:G321,K277:K321*K277:K321))</f>
        <v>19.4166422777217</v>
      </c>
      <c r="M277" s="3" t="n">
        <f aca="false" t="array" ref="M277:M277">SUMPRODUCT(G277:G321,ABS(K277:K321))</f>
        <v>10.7433873418185</v>
      </c>
    </row>
    <row r="278" customFormat="false" ht="14.25" hidden="false" customHeight="false" outlineLevel="0" collapsed="false">
      <c r="F278" s="18" t="n">
        <v>-85.909090909</v>
      </c>
      <c r="G278" s="18" t="n">
        <v>0.156043699</v>
      </c>
      <c r="H278" s="28" t="n">
        <v>0.168653061</v>
      </c>
      <c r="K278" s="15" t="n">
        <f aca="false">MIN(ABS(F278-$B$277), ABS(F278-180-$B$277), ABS(F278+180-$B$277))</f>
        <v>0.180909091000004</v>
      </c>
    </row>
    <row r="279" customFormat="false" ht="14.25" hidden="false" customHeight="false" outlineLevel="0" collapsed="false">
      <c r="F279" s="18" t="n">
        <v>-81.818181818</v>
      </c>
      <c r="G279" s="18" t="n">
        <v>0.153916727</v>
      </c>
      <c r="H279" s="28" t="n">
        <v>0.140044171</v>
      </c>
      <c r="K279" s="15" t="n">
        <f aca="false">MIN(ABS(F279-$B$277), ABS(F279-180-$B$277), ABS(F279+180-$B$277))</f>
        <v>4.271818182</v>
      </c>
    </row>
    <row r="280" customFormat="false" ht="14.25" hidden="false" customHeight="false" outlineLevel="0" collapsed="false">
      <c r="F280" s="18" t="n">
        <v>-77.727272727</v>
      </c>
      <c r="G280" s="18" t="n">
        <v>0.078668158</v>
      </c>
      <c r="H280" s="28" t="n">
        <v>0.084047133</v>
      </c>
      <c r="K280" s="15" t="n">
        <f aca="false">MIN(ABS(F280-$B$277), ABS(F280-180-$B$277), ABS(F280+180-$B$277))</f>
        <v>8.362727273</v>
      </c>
      <c r="L280" s="1" t="n">
        <f aca="false">C277/L277</f>
        <v>0.348154943749276</v>
      </c>
    </row>
    <row r="281" customFormat="false" ht="14.25" hidden="false" customHeight="false" outlineLevel="0" collapsed="false">
      <c r="F281" s="18" t="n">
        <v>-73.636363636</v>
      </c>
      <c r="G281" s="18" t="n">
        <v>0.035612153</v>
      </c>
      <c r="H281" s="28" t="n">
        <v>0.039394257</v>
      </c>
      <c r="K281" s="15" t="n">
        <f aca="false">MIN(ABS(F281-$B$277), ABS(F281-180-$B$277), ABS(F281+180-$B$277))</f>
        <v>12.453636364</v>
      </c>
    </row>
    <row r="282" customFormat="false" ht="14.25" hidden="false" customHeight="false" outlineLevel="0" collapsed="false">
      <c r="F282" s="18" t="n">
        <v>-69.545454545</v>
      </c>
      <c r="G282" s="18" t="n">
        <v>0.019008833</v>
      </c>
      <c r="H282" s="28" t="n">
        <v>0.018286825</v>
      </c>
      <c r="K282" s="15" t="n">
        <f aca="false">MIN(ABS(F282-$B$277), ABS(F282-180-$B$277), ABS(F282+180-$B$277))</f>
        <v>16.544545455</v>
      </c>
    </row>
    <row r="283" customFormat="false" ht="14.25" hidden="false" customHeight="false" outlineLevel="0" collapsed="false">
      <c r="F283" s="18" t="n">
        <v>-65.454545455</v>
      </c>
      <c r="G283" s="18" t="n">
        <v>0.011985121</v>
      </c>
      <c r="H283" s="28" t="n">
        <v>0.011851463</v>
      </c>
      <c r="K283" s="15" t="n">
        <f aca="false">MIN(ABS(F283-$B$277), ABS(F283-180-$B$277), ABS(F283+180-$B$277))</f>
        <v>20.635454545</v>
      </c>
    </row>
    <row r="284" customFormat="false" ht="14.25" hidden="false" customHeight="false" outlineLevel="0" collapsed="false">
      <c r="F284" s="18" t="n">
        <v>-61.363636364</v>
      </c>
      <c r="G284" s="18" t="n">
        <v>0.008391057</v>
      </c>
      <c r="H284" s="28" t="n">
        <v>0.010543773</v>
      </c>
      <c r="K284" s="15" t="n">
        <f aca="false">MIN(ABS(F284-$B$277), ABS(F284-180-$B$277), ABS(F284+180-$B$277))</f>
        <v>24.726363636</v>
      </c>
    </row>
    <row r="285" customFormat="false" ht="14.25" hidden="false" customHeight="false" outlineLevel="0" collapsed="false">
      <c r="F285" s="18" t="n">
        <v>-57.272727273</v>
      </c>
      <c r="G285" s="18" t="n">
        <v>0.006291275</v>
      </c>
      <c r="H285" s="28" t="n">
        <v>0.010363815</v>
      </c>
      <c r="K285" s="15" t="n">
        <f aca="false">MIN(ABS(F285-$B$277), ABS(F285-180-$B$277), ABS(F285+180-$B$277))</f>
        <v>28.817272727</v>
      </c>
    </row>
    <row r="286" customFormat="false" ht="14.25" hidden="false" customHeight="false" outlineLevel="0" collapsed="false">
      <c r="F286" s="18" t="n">
        <v>-53.181818182</v>
      </c>
      <c r="G286" s="18" t="n">
        <v>0.005246024</v>
      </c>
      <c r="H286" s="28" t="n">
        <v>0.010346894</v>
      </c>
      <c r="K286" s="15" t="n">
        <f aca="false">MIN(ABS(F286-$B$277), ABS(F286-180-$B$277), ABS(F286+180-$B$277))</f>
        <v>32.908181818</v>
      </c>
    </row>
    <row r="287" customFormat="false" ht="14.25" hidden="false" customHeight="false" outlineLevel="0" collapsed="false">
      <c r="F287" s="18" t="n">
        <v>-49.090909091</v>
      </c>
      <c r="G287" s="18" t="n">
        <v>0.004551356</v>
      </c>
      <c r="H287" s="28" t="n">
        <v>0.010345802</v>
      </c>
      <c r="K287" s="15" t="n">
        <f aca="false">MIN(ABS(F287-$B$277), ABS(F287-180-$B$277), ABS(F287+180-$B$277))</f>
        <v>36.999090909</v>
      </c>
    </row>
    <row r="288" customFormat="false" ht="14.25" hidden="false" customHeight="false" outlineLevel="0" collapsed="false">
      <c r="F288" s="18" t="n">
        <v>-45</v>
      </c>
      <c r="G288" s="18" t="n">
        <v>0.004190803</v>
      </c>
      <c r="H288" s="28" t="n">
        <v>0.010345753</v>
      </c>
      <c r="K288" s="15" t="n">
        <f aca="false">MIN(ABS(F288-$B$277), ABS(F288-180-$B$277), ABS(F288+180-$B$277))</f>
        <v>41.09</v>
      </c>
    </row>
    <row r="289" customFormat="false" ht="14.25" hidden="false" customHeight="false" outlineLevel="0" collapsed="false">
      <c r="F289" s="18" t="n">
        <v>-40.909090909</v>
      </c>
      <c r="G289" s="18" t="n">
        <v>0.003374781</v>
      </c>
      <c r="H289" s="28" t="n">
        <v>0.010345752</v>
      </c>
      <c r="K289" s="15" t="n">
        <f aca="false">MIN(ABS(F289-$B$277), ABS(F289-180-$B$277), ABS(F289+180-$B$277))</f>
        <v>45.180909091</v>
      </c>
    </row>
    <row r="290" customFormat="false" ht="14.25" hidden="false" customHeight="false" outlineLevel="0" collapsed="false">
      <c r="F290" s="18" t="n">
        <v>-36.818181818</v>
      </c>
      <c r="G290" s="18" t="n">
        <v>0.00354109</v>
      </c>
      <c r="H290" s="28" t="n">
        <v>0.010345752</v>
      </c>
      <c r="K290" s="15" t="n">
        <f aca="false">MIN(ABS(F290-$B$277), ABS(F290-180-$B$277), ABS(F290+180-$B$277))</f>
        <v>49.271818182</v>
      </c>
    </row>
    <row r="291" customFormat="false" ht="14.25" hidden="false" customHeight="false" outlineLevel="0" collapsed="false">
      <c r="F291" s="18" t="n">
        <v>-32.727272727</v>
      </c>
      <c r="G291" s="18" t="n">
        <v>0.003000887</v>
      </c>
      <c r="H291" s="28" t="n">
        <v>0.010345752</v>
      </c>
      <c r="K291" s="15" t="n">
        <f aca="false">MIN(ABS(F291-$B$277), ABS(F291-180-$B$277), ABS(F291+180-$B$277))</f>
        <v>53.362727273</v>
      </c>
    </row>
    <row r="292" customFormat="false" ht="14.25" hidden="false" customHeight="false" outlineLevel="0" collapsed="false">
      <c r="F292" s="18" t="n">
        <v>-28.636363636</v>
      </c>
      <c r="G292" s="18" t="n">
        <v>0.002872202</v>
      </c>
      <c r="H292" s="28" t="n">
        <v>0.010345752</v>
      </c>
      <c r="K292" s="15" t="n">
        <f aca="false">MIN(ABS(F292-$B$277), ABS(F292-180-$B$277), ABS(F292+180-$B$277))</f>
        <v>57.453636364</v>
      </c>
    </row>
    <row r="293" customFormat="false" ht="14.25" hidden="false" customHeight="false" outlineLevel="0" collapsed="false">
      <c r="F293" s="18" t="n">
        <v>-24.545454545</v>
      </c>
      <c r="G293" s="18" t="n">
        <v>0.002570111</v>
      </c>
      <c r="H293" s="28" t="n">
        <v>0.010345752</v>
      </c>
      <c r="K293" s="15" t="n">
        <f aca="false">MIN(ABS(F293-$B$277), ABS(F293-180-$B$277), ABS(F293+180-$B$277))</f>
        <v>61.544545455</v>
      </c>
    </row>
    <row r="294" customFormat="false" ht="14.25" hidden="false" customHeight="false" outlineLevel="0" collapsed="false">
      <c r="F294" s="18" t="n">
        <v>-20.454545455</v>
      </c>
      <c r="G294" s="18" t="n">
        <v>0.002533159</v>
      </c>
      <c r="H294" s="28" t="n">
        <v>0.010345752</v>
      </c>
      <c r="K294" s="15" t="n">
        <f aca="false">MIN(ABS(F294-$B$277), ABS(F294-180-$B$277), ABS(F294+180-$B$277))</f>
        <v>65.635454545</v>
      </c>
    </row>
    <row r="295" customFormat="false" ht="14.25" hidden="false" customHeight="false" outlineLevel="0" collapsed="false">
      <c r="F295" s="18" t="n">
        <v>-16.363636364</v>
      </c>
      <c r="G295" s="18" t="n">
        <v>0.002585524</v>
      </c>
      <c r="H295" s="28" t="n">
        <v>0.010345752</v>
      </c>
      <c r="K295" s="15" t="n">
        <f aca="false">MIN(ABS(F295-$B$277), ABS(F295-180-$B$277), ABS(F295+180-$B$277))</f>
        <v>69.726363636</v>
      </c>
    </row>
    <row r="296" customFormat="false" ht="14.25" hidden="false" customHeight="false" outlineLevel="0" collapsed="false">
      <c r="F296" s="18" t="n">
        <v>-12.272727273</v>
      </c>
      <c r="G296" s="18" t="n">
        <v>0.002598156</v>
      </c>
      <c r="H296" s="28" t="n">
        <v>0.010345752</v>
      </c>
      <c r="K296" s="15" t="n">
        <f aca="false">MIN(ABS(F296-$B$277), ABS(F296-180-$B$277), ABS(F296+180-$B$277))</f>
        <v>73.817272727</v>
      </c>
    </row>
    <row r="297" customFormat="false" ht="14.25" hidden="false" customHeight="false" outlineLevel="0" collapsed="false">
      <c r="F297" s="18" t="n">
        <v>-8.181818182</v>
      </c>
      <c r="G297" s="18" t="n">
        <v>0.002556522</v>
      </c>
      <c r="H297" s="28" t="n">
        <v>0.010345752</v>
      </c>
      <c r="K297" s="15" t="n">
        <f aca="false">MIN(ABS(F297-$B$277), ABS(F297-180-$B$277), ABS(F297+180-$B$277))</f>
        <v>77.908181818</v>
      </c>
    </row>
    <row r="298" customFormat="false" ht="14.25" hidden="false" customHeight="false" outlineLevel="0" collapsed="false">
      <c r="F298" s="18" t="n">
        <v>-4.090909091</v>
      </c>
      <c r="G298" s="18" t="n">
        <v>0.002449521</v>
      </c>
      <c r="H298" s="28" t="n">
        <v>0.010345752</v>
      </c>
      <c r="K298" s="15" t="n">
        <f aca="false">MIN(ABS(F298-$B$277), ABS(F298-180-$B$277), ABS(F298+180-$B$277))</f>
        <v>81.999090909</v>
      </c>
    </row>
    <row r="299" customFormat="false" ht="14.25" hidden="false" customHeight="false" outlineLevel="0" collapsed="false">
      <c r="F299" s="18" t="n">
        <v>0</v>
      </c>
      <c r="G299" s="18" t="n">
        <v>0.002732944</v>
      </c>
      <c r="H299" s="28" t="n">
        <v>0.010345752</v>
      </c>
      <c r="K299" s="15" t="n">
        <f aca="false">MIN(ABS(F299-$B$277), ABS(F299-180-$B$277), ABS(F299+180-$B$277))</f>
        <v>86.09</v>
      </c>
    </row>
    <row r="300" customFormat="false" ht="14.25" hidden="false" customHeight="false" outlineLevel="0" collapsed="false">
      <c r="F300" s="18" t="n">
        <v>4.090909091</v>
      </c>
      <c r="G300" s="18" t="n">
        <v>0.002333139</v>
      </c>
      <c r="H300" s="28" t="n">
        <v>0.010345752</v>
      </c>
      <c r="K300" s="15" t="n">
        <f aca="false">MIN(ABS(F300-$B$277), ABS(F300-180-$B$277), ABS(F300+180-$B$277))</f>
        <v>89.819090909</v>
      </c>
    </row>
    <row r="301" customFormat="false" ht="14.25" hidden="false" customHeight="false" outlineLevel="0" collapsed="false">
      <c r="F301" s="18" t="n">
        <v>8.181818182</v>
      </c>
      <c r="G301" s="18" t="n">
        <v>0.002564021</v>
      </c>
      <c r="H301" s="28" t="n">
        <v>0.010345752</v>
      </c>
      <c r="K301" s="15" t="n">
        <f aca="false">MIN(ABS(F301-$B$277), ABS(F301-180-$B$277), ABS(F301+180-$B$277))</f>
        <v>85.728181818</v>
      </c>
    </row>
    <row r="302" customFormat="false" ht="14.25" hidden="false" customHeight="false" outlineLevel="0" collapsed="false">
      <c r="F302" s="18" t="n">
        <v>12.272727273</v>
      </c>
      <c r="G302" s="18" t="n">
        <v>0.002265183</v>
      </c>
      <c r="H302" s="28" t="n">
        <v>0.010345752</v>
      </c>
      <c r="K302" s="15" t="n">
        <f aca="false">MIN(ABS(F302-$B$277), ABS(F302-180-$B$277), ABS(F302+180-$B$277))</f>
        <v>81.637272727</v>
      </c>
    </row>
    <row r="303" customFormat="false" ht="14.25" hidden="false" customHeight="false" outlineLevel="0" collapsed="false">
      <c r="F303" s="18" t="n">
        <v>16.363636364</v>
      </c>
      <c r="G303" s="18" t="n">
        <v>0.002374905</v>
      </c>
      <c r="H303" s="28" t="n">
        <v>0.010345752</v>
      </c>
      <c r="K303" s="15" t="n">
        <f aca="false">MIN(ABS(F303-$B$277), ABS(F303-180-$B$277), ABS(F303+180-$B$277))</f>
        <v>77.546363636</v>
      </c>
    </row>
    <row r="304" customFormat="false" ht="14.25" hidden="false" customHeight="false" outlineLevel="0" collapsed="false">
      <c r="F304" s="18" t="n">
        <v>20.454545455</v>
      </c>
      <c r="G304" s="18" t="n">
        <v>0.002275721</v>
      </c>
      <c r="H304" s="28" t="n">
        <v>0.010345752</v>
      </c>
      <c r="K304" s="15" t="n">
        <f aca="false">MIN(ABS(F304-$B$277), ABS(F304-180-$B$277), ABS(F304+180-$B$277))</f>
        <v>73.455454545</v>
      </c>
    </row>
    <row r="305" customFormat="false" ht="14.25" hidden="false" customHeight="false" outlineLevel="0" collapsed="false">
      <c r="F305" s="18" t="n">
        <v>24.545454545</v>
      </c>
      <c r="G305" s="18" t="n">
        <v>0.002347912</v>
      </c>
      <c r="H305" s="28" t="n">
        <v>0.010345752</v>
      </c>
      <c r="K305" s="15" t="n">
        <f aca="false">MIN(ABS(F305-$B$277), ABS(F305-180-$B$277), ABS(F305+180-$B$277))</f>
        <v>69.364545455</v>
      </c>
    </row>
    <row r="306" customFormat="false" ht="14.25" hidden="false" customHeight="false" outlineLevel="0" collapsed="false">
      <c r="F306" s="18" t="n">
        <v>28.636363636</v>
      </c>
      <c r="G306" s="18" t="n">
        <v>0.002501306</v>
      </c>
      <c r="H306" s="28" t="n">
        <v>0.010345752</v>
      </c>
      <c r="K306" s="15" t="n">
        <f aca="false">MIN(ABS(F306-$B$277), ABS(F306-180-$B$277), ABS(F306+180-$B$277))</f>
        <v>65.273636364</v>
      </c>
    </row>
    <row r="307" customFormat="false" ht="14.25" hidden="false" customHeight="false" outlineLevel="0" collapsed="false">
      <c r="F307" s="18" t="n">
        <v>32.727272727</v>
      </c>
      <c r="G307" s="18" t="n">
        <v>0.002477992</v>
      </c>
      <c r="H307" s="28" t="n">
        <v>0.010345752</v>
      </c>
      <c r="K307" s="15" t="n">
        <f aca="false">MIN(ABS(F307-$B$277), ABS(F307-180-$B$277), ABS(F307+180-$B$277))</f>
        <v>61.182727273</v>
      </c>
    </row>
    <row r="308" customFormat="false" ht="14.25" hidden="false" customHeight="false" outlineLevel="0" collapsed="false">
      <c r="F308" s="18" t="n">
        <v>36.818181818</v>
      </c>
      <c r="G308" s="18" t="n">
        <v>0.002725267</v>
      </c>
      <c r="H308" s="28" t="n">
        <v>0.010345752</v>
      </c>
      <c r="K308" s="15" t="n">
        <f aca="false">MIN(ABS(F308-$B$277), ABS(F308-180-$B$277), ABS(F308+180-$B$277))</f>
        <v>57.091818182</v>
      </c>
    </row>
    <row r="309" customFormat="false" ht="14.25" hidden="false" customHeight="false" outlineLevel="0" collapsed="false">
      <c r="F309" s="18" t="n">
        <v>40.909090909</v>
      </c>
      <c r="G309" s="18" t="n">
        <v>0.002588083</v>
      </c>
      <c r="H309" s="28" t="n">
        <v>0.010345752</v>
      </c>
      <c r="K309" s="15" t="n">
        <f aca="false">MIN(ABS(F309-$B$277), ABS(F309-180-$B$277), ABS(F309+180-$B$277))</f>
        <v>53.000909091</v>
      </c>
    </row>
    <row r="310" customFormat="false" ht="14.25" hidden="false" customHeight="false" outlineLevel="0" collapsed="false">
      <c r="F310" s="18" t="n">
        <v>45</v>
      </c>
      <c r="G310" s="18" t="n">
        <v>0.003047228</v>
      </c>
      <c r="H310" s="28" t="n">
        <v>0.010345752</v>
      </c>
      <c r="K310" s="15" t="n">
        <f aca="false">MIN(ABS(F310-$B$277), ABS(F310-180-$B$277), ABS(F310+180-$B$277))</f>
        <v>48.91</v>
      </c>
    </row>
    <row r="311" customFormat="false" ht="14.25" hidden="false" customHeight="false" outlineLevel="0" collapsed="false">
      <c r="F311" s="18" t="n">
        <v>49.090909091</v>
      </c>
      <c r="G311" s="18" t="n">
        <v>0.003140237</v>
      </c>
      <c r="H311" s="28" t="n">
        <v>0.010345752</v>
      </c>
      <c r="K311" s="15" t="n">
        <f aca="false">MIN(ABS(F311-$B$277), ABS(F311-180-$B$277), ABS(F311+180-$B$277))</f>
        <v>44.819090909</v>
      </c>
    </row>
    <row r="312" customFormat="false" ht="14.25" hidden="false" customHeight="false" outlineLevel="0" collapsed="false">
      <c r="F312" s="18" t="n">
        <v>53.181818182</v>
      </c>
      <c r="G312" s="18" t="n">
        <v>0.00351268</v>
      </c>
      <c r="H312" s="28" t="n">
        <v>0.010345752</v>
      </c>
      <c r="K312" s="15" t="n">
        <f aca="false">MIN(ABS(F312-$B$277), ABS(F312-180-$B$277), ABS(F312+180-$B$277))</f>
        <v>40.728181818</v>
      </c>
    </row>
    <row r="313" customFormat="false" ht="14.25" hidden="false" customHeight="false" outlineLevel="0" collapsed="false">
      <c r="F313" s="18" t="n">
        <v>57.272727273</v>
      </c>
      <c r="G313" s="18" t="n">
        <v>0.004065838</v>
      </c>
      <c r="H313" s="28" t="n">
        <v>0.010345752</v>
      </c>
      <c r="K313" s="15" t="n">
        <f aca="false">MIN(ABS(F313-$B$277), ABS(F313-180-$B$277), ABS(F313+180-$B$277))</f>
        <v>36.637272727</v>
      </c>
    </row>
    <row r="314" customFormat="false" ht="14.25" hidden="false" customHeight="false" outlineLevel="0" collapsed="false">
      <c r="F314" s="18" t="n">
        <v>61.363636364</v>
      </c>
      <c r="G314" s="18" t="n">
        <v>0.00472357</v>
      </c>
      <c r="H314" s="28" t="n">
        <v>0.010345752</v>
      </c>
      <c r="K314" s="15" t="n">
        <f aca="false">MIN(ABS(F314-$B$277), ABS(F314-180-$B$277), ABS(F314+180-$B$277))</f>
        <v>32.546363636</v>
      </c>
    </row>
    <row r="315" customFormat="false" ht="14.25" hidden="false" customHeight="false" outlineLevel="0" collapsed="false">
      <c r="F315" s="18" t="n">
        <v>65.454545455</v>
      </c>
      <c r="G315" s="18" t="n">
        <v>0.005701132</v>
      </c>
      <c r="H315" s="28" t="n">
        <v>0.010345752</v>
      </c>
      <c r="K315" s="15" t="n">
        <f aca="false">MIN(ABS(F315-$B$277), ABS(F315-180-$B$277), ABS(F315+180-$B$277))</f>
        <v>28.455454545</v>
      </c>
    </row>
    <row r="316" customFormat="false" ht="14.25" hidden="false" customHeight="false" outlineLevel="0" collapsed="false">
      <c r="F316" s="18" t="n">
        <v>69.545454545</v>
      </c>
      <c r="G316" s="18" t="n">
        <v>0.008393872</v>
      </c>
      <c r="H316" s="28" t="n">
        <v>0.010345752</v>
      </c>
      <c r="K316" s="15" t="n">
        <f aca="false">MIN(ABS(F316-$B$277), ABS(F316-180-$B$277), ABS(F316+180-$B$277))</f>
        <v>24.364545455</v>
      </c>
    </row>
    <row r="317" customFormat="false" ht="14.25" hidden="false" customHeight="false" outlineLevel="0" collapsed="false">
      <c r="F317" s="18" t="n">
        <v>73.636363636</v>
      </c>
      <c r="G317" s="18" t="n">
        <v>0.012783944</v>
      </c>
      <c r="H317" s="28" t="n">
        <v>0.010345752</v>
      </c>
      <c r="K317" s="15" t="n">
        <f aca="false">MIN(ABS(F317-$B$277), ABS(F317-180-$B$277), ABS(F317+180-$B$277))</f>
        <v>20.273636364</v>
      </c>
    </row>
    <row r="318" customFormat="false" ht="14.25" hidden="false" customHeight="false" outlineLevel="0" collapsed="false">
      <c r="F318" s="18" t="n">
        <v>77.727272727</v>
      </c>
      <c r="G318" s="18" t="n">
        <v>0.020369127</v>
      </c>
      <c r="H318" s="28" t="n">
        <v>0.010345752</v>
      </c>
      <c r="K318" s="15" t="n">
        <f aca="false">MIN(ABS(F318-$B$277), ABS(F318-180-$B$277), ABS(F318+180-$B$277))</f>
        <v>16.182727273</v>
      </c>
    </row>
    <row r="319" s="19" customFormat="true" ht="14.25" hidden="false" customHeight="false" outlineLevel="0" collapsed="false">
      <c r="A319" s="1"/>
      <c r="B319" s="1"/>
      <c r="C319" s="1"/>
      <c r="D319" s="1"/>
      <c r="E319" s="1"/>
      <c r="F319" s="18" t="n">
        <v>81.818181818</v>
      </c>
      <c r="G319" s="18" t="n">
        <v>0.035206092</v>
      </c>
      <c r="H319" s="28" t="n">
        <v>0.010345752</v>
      </c>
      <c r="I319" s="1"/>
      <c r="J319" s="1"/>
      <c r="K319" s="15" t="n">
        <f aca="false">MIN(ABS(F319-$B$277), ABS(F319-180-$B$277), ABS(F319+180-$B$277))</f>
        <v>12.091818182</v>
      </c>
      <c r="L319" s="1"/>
      <c r="M319" s="1"/>
    </row>
    <row r="320" customFormat="false" ht="14.25" hidden="false" customHeight="false" outlineLevel="0" collapsed="false">
      <c r="F320" s="18" t="n">
        <v>85.909090909</v>
      </c>
      <c r="G320" s="18" t="n">
        <v>0.060735205</v>
      </c>
      <c r="H320" s="28" t="n">
        <v>0.010345752</v>
      </c>
      <c r="K320" s="15" t="n">
        <f aca="false">MIN(ABS(F320-$B$277), ABS(F320-180-$B$277), ABS(F320+180-$B$277))</f>
        <v>8.000909091</v>
      </c>
    </row>
    <row r="321" customFormat="false" ht="14.25" hidden="false" customHeight="false" outlineLevel="0" collapsed="false">
      <c r="A321" s="19"/>
      <c r="B321" s="19"/>
      <c r="C321" s="19"/>
      <c r="D321" s="19"/>
      <c r="E321" s="19"/>
      <c r="F321" s="32" t="n">
        <v>90</v>
      </c>
      <c r="G321" s="32" t="n">
        <v>0.149573723</v>
      </c>
      <c r="H321" s="33" t="n">
        <v>0.010345752</v>
      </c>
      <c r="I321" s="19"/>
      <c r="J321" s="19"/>
      <c r="K321" s="15" t="n">
        <f aca="false">MIN(ABS(F321-$B$277), ABS(F321-180-$B$277), ABS(F321+180-$B$277))</f>
        <v>3.91</v>
      </c>
      <c r="L321" s="19"/>
      <c r="M321" s="19"/>
    </row>
    <row r="322" customFormat="false" ht="14.25" hidden="false" customHeight="false" outlineLevel="0" collapsed="false">
      <c r="A322" s="14" t="n">
        <v>20241115</v>
      </c>
      <c r="B322" s="14" t="n">
        <v>-84.68</v>
      </c>
      <c r="C322" s="14" t="n">
        <v>5.71</v>
      </c>
      <c r="D322" s="14" t="n">
        <v>0.55</v>
      </c>
      <c r="E322" s="14" t="n">
        <v>0.77</v>
      </c>
      <c r="F322" s="18" t="n">
        <v>-90</v>
      </c>
      <c r="G322" s="18" t="n">
        <v>0.106807074</v>
      </c>
      <c r="H322" s="28" t="n">
        <v>0.112806579</v>
      </c>
      <c r="K322" s="15" t="n">
        <f aca="false">MIN(ABS(F322-$B$322), ABS(F322-180-$B$322), ABS(F322+180-$B$322))</f>
        <v>5.31999999999999</v>
      </c>
      <c r="L322" s="16" t="n">
        <f aca="false" t="array" ref="L322:L322">SQRT(SUMPRODUCT(G322:G366,K322:K366*K322:K366))</f>
        <v>22.6026598563675</v>
      </c>
      <c r="M322" s="3" t="n">
        <f aca="false" t="array" ref="M322:M322">SUMPRODUCT(G322:G366,ABS(K322:K366))</f>
        <v>13.3022425992079</v>
      </c>
    </row>
    <row r="323" customFormat="false" ht="14.25" hidden="false" customHeight="false" outlineLevel="0" collapsed="false">
      <c r="F323" s="18" t="n">
        <v>-85.909090909</v>
      </c>
      <c r="G323" s="18" t="n">
        <v>0.172318921</v>
      </c>
      <c r="H323" s="28" t="n">
        <v>0.164430644</v>
      </c>
      <c r="K323" s="15" t="n">
        <f aca="false">MIN(ABS(F323-$B$322), ABS(F323-180-$B$322), ABS(F323+180-$B$322))</f>
        <v>1.22909090899999</v>
      </c>
    </row>
    <row r="324" customFormat="false" ht="14.25" hidden="false" customHeight="false" outlineLevel="0" collapsed="false">
      <c r="F324" s="18" t="n">
        <v>-81.818181818</v>
      </c>
      <c r="G324" s="18" t="n">
        <v>0.149092034</v>
      </c>
      <c r="H324" s="28" t="n">
        <v>0.149549331</v>
      </c>
      <c r="K324" s="15" t="n">
        <f aca="false">MIN(ABS(F324-$B$322), ABS(F324-180-$B$322), ABS(F324+180-$B$322))</f>
        <v>2.86181818200001</v>
      </c>
      <c r="L324" s="1" t="n">
        <f aca="false">C322/L322</f>
        <v>0.252625135107336</v>
      </c>
    </row>
    <row r="325" customFormat="false" ht="14.25" hidden="false" customHeight="false" outlineLevel="0" collapsed="false">
      <c r="F325" s="18" t="n">
        <v>-77.727272727</v>
      </c>
      <c r="G325" s="18" t="n">
        <v>0.073012332</v>
      </c>
      <c r="H325" s="28" t="n">
        <v>0.08598147</v>
      </c>
      <c r="K325" s="15" t="n">
        <f aca="false">MIN(ABS(F325-$B$322), ABS(F325-180-$B$322), ABS(F325+180-$B$322))</f>
        <v>6.95272727300001</v>
      </c>
    </row>
    <row r="326" customFormat="false" ht="14.25" hidden="false" customHeight="false" outlineLevel="0" collapsed="false">
      <c r="F326" s="18" t="n">
        <v>-73.636363636</v>
      </c>
      <c r="G326" s="18" t="n">
        <v>0.049756307</v>
      </c>
      <c r="H326" s="28" t="n">
        <v>0.035384768</v>
      </c>
      <c r="K326" s="15" t="n">
        <f aca="false">MIN(ABS(F326-$B$322), ABS(F326-180-$B$322), ABS(F326+180-$B$322))</f>
        <v>11.043636364</v>
      </c>
    </row>
    <row r="327" customFormat="false" ht="14.25" hidden="false" customHeight="false" outlineLevel="0" collapsed="false">
      <c r="F327" s="18" t="n">
        <v>-69.545454545</v>
      </c>
      <c r="G327" s="18" t="n">
        <v>0.033290729</v>
      </c>
      <c r="H327" s="28" t="n">
        <v>0.01585921</v>
      </c>
      <c r="K327" s="15" t="n">
        <f aca="false">MIN(ABS(F327-$B$322), ABS(F327-180-$B$322), ABS(F327+180-$B$322))</f>
        <v>15.134545455</v>
      </c>
    </row>
    <row r="328" customFormat="false" ht="14.25" hidden="false" customHeight="false" outlineLevel="0" collapsed="false">
      <c r="F328" s="18" t="n">
        <v>-65.454545455</v>
      </c>
      <c r="G328" s="18" t="n">
        <v>0.019828504</v>
      </c>
      <c r="H328" s="28" t="n">
        <v>0.011709148</v>
      </c>
      <c r="K328" s="15" t="n">
        <f aca="false">MIN(ABS(F328-$B$322), ABS(F328-180-$B$322), ABS(F328+180-$B$322))</f>
        <v>19.225454545</v>
      </c>
    </row>
    <row r="329" customFormat="false" ht="14.25" hidden="false" customHeight="false" outlineLevel="0" collapsed="false">
      <c r="F329" s="18" t="n">
        <v>-61.363636364</v>
      </c>
      <c r="G329" s="18" t="n">
        <v>0.012381209</v>
      </c>
      <c r="H329" s="28" t="n">
        <v>0.011202069</v>
      </c>
      <c r="K329" s="15" t="n">
        <f aca="false">MIN(ABS(F329-$B$322), ABS(F329-180-$B$322), ABS(F329+180-$B$322))</f>
        <v>23.316363636</v>
      </c>
    </row>
    <row r="330" customFormat="false" ht="14.25" hidden="false" customHeight="false" outlineLevel="0" collapsed="false">
      <c r="F330" s="18" t="n">
        <v>-57.272727273</v>
      </c>
      <c r="G330" s="18" t="n">
        <v>0.009368589</v>
      </c>
      <c r="H330" s="28" t="n">
        <v>0.01116577</v>
      </c>
      <c r="K330" s="15" t="n">
        <f aca="false">MIN(ABS(F330-$B$322), ABS(F330-180-$B$322), ABS(F330+180-$B$322))</f>
        <v>27.407272727</v>
      </c>
    </row>
    <row r="331" customFormat="false" ht="14.25" hidden="false" customHeight="false" outlineLevel="0" collapsed="false">
      <c r="F331" s="18" t="n">
        <v>-53.181818182</v>
      </c>
      <c r="G331" s="18" t="n">
        <v>0.007677597</v>
      </c>
      <c r="H331" s="28" t="n">
        <v>0.011164233</v>
      </c>
      <c r="K331" s="15" t="n">
        <f aca="false">MIN(ABS(F331-$B$322), ABS(F331-180-$B$322), ABS(F331+180-$B$322))</f>
        <v>31.498181818</v>
      </c>
    </row>
    <row r="332" customFormat="false" ht="14.25" hidden="false" customHeight="false" outlineLevel="0" collapsed="false">
      <c r="F332" s="18" t="n">
        <v>-49.090909091</v>
      </c>
      <c r="G332" s="18" t="n">
        <v>0.006442849</v>
      </c>
      <c r="H332" s="28" t="n">
        <v>0.011164194</v>
      </c>
      <c r="K332" s="15" t="n">
        <f aca="false">MIN(ABS(F332-$B$322), ABS(F332-180-$B$322), ABS(F332+180-$B$322))</f>
        <v>35.589090909</v>
      </c>
    </row>
    <row r="333" customFormat="false" ht="14.25" hidden="false" customHeight="false" outlineLevel="0" collapsed="false">
      <c r="F333" s="18" t="n">
        <v>-45</v>
      </c>
      <c r="G333" s="18" t="n">
        <v>0.006276114</v>
      </c>
      <c r="H333" s="28" t="n">
        <v>0.011164194</v>
      </c>
      <c r="K333" s="15" t="n">
        <f aca="false">MIN(ABS(F333-$B$322), ABS(F333-180-$B$322), ABS(F333+180-$B$322))</f>
        <v>39.68</v>
      </c>
    </row>
    <row r="334" customFormat="false" ht="14.25" hidden="false" customHeight="false" outlineLevel="0" collapsed="false">
      <c r="F334" s="18" t="n">
        <v>-40.909090909</v>
      </c>
      <c r="G334" s="18" t="n">
        <v>0.005167265</v>
      </c>
      <c r="H334" s="28" t="n">
        <v>0.011164194</v>
      </c>
      <c r="K334" s="15" t="n">
        <f aca="false">MIN(ABS(F334-$B$322), ABS(F334-180-$B$322), ABS(F334+180-$B$322))</f>
        <v>43.770909091</v>
      </c>
    </row>
    <row r="335" customFormat="false" ht="14.25" hidden="false" customHeight="false" outlineLevel="0" collapsed="false">
      <c r="F335" s="18" t="n">
        <v>-36.818181818</v>
      </c>
      <c r="G335" s="18" t="n">
        <v>0.004632746</v>
      </c>
      <c r="H335" s="28" t="n">
        <v>0.011164194</v>
      </c>
      <c r="K335" s="15" t="n">
        <f aca="false">MIN(ABS(F335-$B$322), ABS(F335-180-$B$322), ABS(F335+180-$B$322))</f>
        <v>47.861818182</v>
      </c>
    </row>
    <row r="336" customFormat="false" ht="14.25" hidden="false" customHeight="false" outlineLevel="0" collapsed="false">
      <c r="F336" s="18" t="n">
        <v>-32.727272727</v>
      </c>
      <c r="G336" s="18" t="n">
        <v>0.004127098</v>
      </c>
      <c r="H336" s="28" t="n">
        <v>0.011164194</v>
      </c>
      <c r="K336" s="15" t="n">
        <f aca="false">MIN(ABS(F336-$B$322), ABS(F336-180-$B$322), ABS(F336+180-$B$322))</f>
        <v>51.952727273</v>
      </c>
    </row>
    <row r="337" customFormat="false" ht="14.25" hidden="false" customHeight="false" outlineLevel="0" collapsed="false">
      <c r="F337" s="18" t="n">
        <v>-28.636363636</v>
      </c>
      <c r="G337" s="18" t="n">
        <v>0.003721494</v>
      </c>
      <c r="H337" s="28" t="n">
        <v>0.011164194</v>
      </c>
      <c r="K337" s="15" t="n">
        <f aca="false">MIN(ABS(F337-$B$322), ABS(F337-180-$B$322), ABS(F337+180-$B$322))</f>
        <v>56.043636364</v>
      </c>
    </row>
    <row r="338" customFormat="false" ht="14.25" hidden="false" customHeight="false" outlineLevel="0" collapsed="false">
      <c r="F338" s="18" t="n">
        <v>-24.545454545</v>
      </c>
      <c r="G338" s="18" t="n">
        <v>0.003718491</v>
      </c>
      <c r="H338" s="28" t="n">
        <v>0.011164194</v>
      </c>
      <c r="K338" s="15" t="n">
        <f aca="false">MIN(ABS(F338-$B$322), ABS(F338-180-$B$322), ABS(F338+180-$B$322))</f>
        <v>60.134545455</v>
      </c>
    </row>
    <row r="339" customFormat="false" ht="14.25" hidden="false" customHeight="false" outlineLevel="0" collapsed="false">
      <c r="F339" s="18" t="n">
        <v>-20.454545455</v>
      </c>
      <c r="G339" s="18" t="n">
        <v>0.003687072</v>
      </c>
      <c r="H339" s="28" t="n">
        <v>0.011164194</v>
      </c>
      <c r="K339" s="15" t="n">
        <f aca="false">MIN(ABS(F339-$B$322), ABS(F339-180-$B$322), ABS(F339+180-$B$322))</f>
        <v>64.225454545</v>
      </c>
    </row>
    <row r="340" customFormat="false" ht="14.25" hidden="false" customHeight="false" outlineLevel="0" collapsed="false">
      <c r="F340" s="18" t="n">
        <v>-16.363636364</v>
      </c>
      <c r="G340" s="18" t="n">
        <v>0.003549931</v>
      </c>
      <c r="H340" s="28" t="n">
        <v>0.011164194</v>
      </c>
      <c r="K340" s="15" t="n">
        <f aca="false">MIN(ABS(F340-$B$322), ABS(F340-180-$B$322), ABS(F340+180-$B$322))</f>
        <v>68.316363636</v>
      </c>
    </row>
    <row r="341" customFormat="false" ht="14.25" hidden="false" customHeight="false" outlineLevel="0" collapsed="false">
      <c r="F341" s="18" t="n">
        <v>-12.272727273</v>
      </c>
      <c r="G341" s="18" t="n">
        <v>0.003320504</v>
      </c>
      <c r="H341" s="28" t="n">
        <v>0.011164194</v>
      </c>
      <c r="K341" s="15" t="n">
        <f aca="false">MIN(ABS(F341-$B$322), ABS(F341-180-$B$322), ABS(F341+180-$B$322))</f>
        <v>72.407272727</v>
      </c>
    </row>
    <row r="342" customFormat="false" ht="14.25" hidden="false" customHeight="false" outlineLevel="0" collapsed="false">
      <c r="F342" s="18" t="n">
        <v>-8.181818182</v>
      </c>
      <c r="G342" s="18" t="n">
        <v>0.003388934</v>
      </c>
      <c r="H342" s="28" t="n">
        <v>0.011164194</v>
      </c>
      <c r="K342" s="15" t="n">
        <f aca="false">MIN(ABS(F342-$B$322), ABS(F342-180-$B$322), ABS(F342+180-$B$322))</f>
        <v>76.498181818</v>
      </c>
    </row>
    <row r="343" customFormat="false" ht="14.25" hidden="false" customHeight="false" outlineLevel="0" collapsed="false">
      <c r="F343" s="18" t="n">
        <v>-4.090909091</v>
      </c>
      <c r="G343" s="18" t="n">
        <v>0.00342563</v>
      </c>
      <c r="H343" s="28" t="n">
        <v>0.011164194</v>
      </c>
      <c r="K343" s="15" t="n">
        <f aca="false">MIN(ABS(F343-$B$322), ABS(F343-180-$B$322), ABS(F343+180-$B$322))</f>
        <v>80.589090909</v>
      </c>
    </row>
    <row r="344" customFormat="false" ht="14.25" hidden="false" customHeight="false" outlineLevel="0" collapsed="false">
      <c r="F344" s="18" t="n">
        <v>0</v>
      </c>
      <c r="G344" s="18" t="n">
        <v>0.003463189</v>
      </c>
      <c r="H344" s="28" t="n">
        <v>0.011164194</v>
      </c>
      <c r="K344" s="15" t="n">
        <f aca="false">MIN(ABS(F344-$B$322), ABS(F344-180-$B$322), ABS(F344+180-$B$322))</f>
        <v>84.68</v>
      </c>
    </row>
    <row r="345" customFormat="false" ht="14.25" hidden="false" customHeight="false" outlineLevel="0" collapsed="false">
      <c r="F345" s="18" t="n">
        <v>4.090909091</v>
      </c>
      <c r="G345" s="18" t="n">
        <v>0.003333569</v>
      </c>
      <c r="H345" s="28" t="n">
        <v>0.011164194</v>
      </c>
      <c r="K345" s="15" t="n">
        <f aca="false">MIN(ABS(F345-$B$322), ABS(F345-180-$B$322), ABS(F345+180-$B$322))</f>
        <v>88.770909091</v>
      </c>
    </row>
    <row r="346" customFormat="false" ht="14.25" hidden="false" customHeight="false" outlineLevel="0" collapsed="false">
      <c r="F346" s="18" t="n">
        <v>8.181818182</v>
      </c>
      <c r="G346" s="18" t="n">
        <v>0.003412051</v>
      </c>
      <c r="H346" s="28" t="n">
        <v>0.011164194</v>
      </c>
      <c r="K346" s="15" t="n">
        <f aca="false">MIN(ABS(F346-$B$322), ABS(F346-180-$B$322), ABS(F346+180-$B$322))</f>
        <v>87.138181818</v>
      </c>
    </row>
    <row r="347" customFormat="false" ht="14.25" hidden="false" customHeight="false" outlineLevel="0" collapsed="false">
      <c r="F347" s="18" t="n">
        <v>12.272727273</v>
      </c>
      <c r="G347" s="18" t="n">
        <v>0.003282998</v>
      </c>
      <c r="H347" s="28" t="n">
        <v>0.011164194</v>
      </c>
      <c r="K347" s="15" t="n">
        <f aca="false">MIN(ABS(F347-$B$322), ABS(F347-180-$B$322), ABS(F347+180-$B$322))</f>
        <v>83.047272727</v>
      </c>
    </row>
    <row r="348" customFormat="false" ht="14.25" hidden="false" customHeight="false" outlineLevel="0" collapsed="false">
      <c r="F348" s="18" t="n">
        <v>16.363636364</v>
      </c>
      <c r="G348" s="18" t="n">
        <v>0.003383531</v>
      </c>
      <c r="H348" s="28" t="n">
        <v>0.011164194</v>
      </c>
      <c r="K348" s="15" t="n">
        <f aca="false">MIN(ABS(F348-$B$322), ABS(F348-180-$B$322), ABS(F348+180-$B$322))</f>
        <v>78.956363636</v>
      </c>
    </row>
    <row r="349" customFormat="false" ht="14.25" hidden="false" customHeight="false" outlineLevel="0" collapsed="false">
      <c r="F349" s="18" t="n">
        <v>20.454545455</v>
      </c>
      <c r="G349" s="18" t="n">
        <v>0.003349339</v>
      </c>
      <c r="H349" s="28" t="n">
        <v>0.011164194</v>
      </c>
      <c r="K349" s="15" t="n">
        <f aca="false">MIN(ABS(F349-$B$322), ABS(F349-180-$B$322), ABS(F349+180-$B$322))</f>
        <v>74.865454545</v>
      </c>
    </row>
    <row r="350" customFormat="false" ht="14.25" hidden="false" customHeight="false" outlineLevel="0" collapsed="false">
      <c r="F350" s="18" t="n">
        <v>24.545454545</v>
      </c>
      <c r="G350" s="18" t="n">
        <v>0.003534383</v>
      </c>
      <c r="H350" s="28" t="n">
        <v>0.011164194</v>
      </c>
      <c r="K350" s="15" t="n">
        <f aca="false">MIN(ABS(F350-$B$322), ABS(F350-180-$B$322), ABS(F350+180-$B$322))</f>
        <v>70.774545455</v>
      </c>
    </row>
    <row r="351" customFormat="false" ht="14.25" hidden="false" customHeight="false" outlineLevel="0" collapsed="false">
      <c r="F351" s="18" t="n">
        <v>28.636363636</v>
      </c>
      <c r="G351" s="18" t="n">
        <v>0.003396141</v>
      </c>
      <c r="H351" s="28" t="n">
        <v>0.011164194</v>
      </c>
      <c r="K351" s="15" t="n">
        <f aca="false">MIN(ABS(F351-$B$322), ABS(F351-180-$B$322), ABS(F351+180-$B$322))</f>
        <v>66.683636364</v>
      </c>
    </row>
    <row r="352" customFormat="false" ht="14.25" hidden="false" customHeight="false" outlineLevel="0" collapsed="false">
      <c r="F352" s="18" t="n">
        <v>32.727272727</v>
      </c>
      <c r="G352" s="18" t="n">
        <v>0.003766334</v>
      </c>
      <c r="H352" s="28" t="n">
        <v>0.011164194</v>
      </c>
      <c r="K352" s="15" t="n">
        <f aca="false">MIN(ABS(F352-$B$322), ABS(F352-180-$B$322), ABS(F352+180-$B$322))</f>
        <v>62.592727273</v>
      </c>
    </row>
    <row r="353" customFormat="false" ht="14.25" hidden="false" customHeight="false" outlineLevel="0" collapsed="false">
      <c r="F353" s="18" t="n">
        <v>36.818181818</v>
      </c>
      <c r="G353" s="18" t="n">
        <v>0.003817052</v>
      </c>
      <c r="H353" s="28" t="n">
        <v>0.011164194</v>
      </c>
      <c r="K353" s="15" t="n">
        <f aca="false">MIN(ABS(F353-$B$322), ABS(F353-180-$B$322), ABS(F353+180-$B$322))</f>
        <v>58.501818182</v>
      </c>
    </row>
    <row r="354" customFormat="false" ht="14.25" hidden="false" customHeight="false" outlineLevel="0" collapsed="false">
      <c r="F354" s="18" t="n">
        <v>40.909090909</v>
      </c>
      <c r="G354" s="18" t="n">
        <v>0.004132691</v>
      </c>
      <c r="H354" s="28" t="n">
        <v>0.011164194</v>
      </c>
      <c r="K354" s="15" t="n">
        <f aca="false">MIN(ABS(F354-$B$322), ABS(F354-180-$B$322), ABS(F354+180-$B$322))</f>
        <v>54.410909091</v>
      </c>
    </row>
    <row r="355" customFormat="false" ht="14.25" hidden="false" customHeight="false" outlineLevel="0" collapsed="false">
      <c r="F355" s="18" t="n">
        <v>45</v>
      </c>
      <c r="G355" s="18" t="n">
        <v>0.004359491</v>
      </c>
      <c r="H355" s="28" t="n">
        <v>0.011164194</v>
      </c>
      <c r="K355" s="15" t="n">
        <f aca="false">MIN(ABS(F355-$B$322), ABS(F355-180-$B$322), ABS(F355+180-$B$322))</f>
        <v>50.32</v>
      </c>
    </row>
    <row r="356" customFormat="false" ht="14.25" hidden="false" customHeight="false" outlineLevel="0" collapsed="false">
      <c r="F356" s="18" t="n">
        <v>49.090909091</v>
      </c>
      <c r="G356" s="18" t="n">
        <v>0.003978469</v>
      </c>
      <c r="H356" s="28" t="n">
        <v>0.011164194</v>
      </c>
      <c r="K356" s="15" t="n">
        <f aca="false">MIN(ABS(F356-$B$322), ABS(F356-180-$B$322), ABS(F356+180-$B$322))</f>
        <v>46.229090909</v>
      </c>
    </row>
    <row r="357" customFormat="false" ht="14.25" hidden="false" customHeight="false" outlineLevel="0" collapsed="false">
      <c r="F357" s="18" t="n">
        <v>53.181818182</v>
      </c>
      <c r="G357" s="18" t="n">
        <v>0.004547127</v>
      </c>
      <c r="H357" s="28" t="n">
        <v>0.011164194</v>
      </c>
      <c r="K357" s="15" t="n">
        <f aca="false">MIN(ABS(F357-$B$322), ABS(F357-180-$B$322), ABS(F357+180-$B$322))</f>
        <v>42.138181818</v>
      </c>
    </row>
    <row r="358" customFormat="false" ht="14.25" hidden="false" customHeight="false" outlineLevel="0" collapsed="false">
      <c r="F358" s="18" t="n">
        <v>57.272727273</v>
      </c>
      <c r="G358" s="18" t="n">
        <v>0.005400575</v>
      </c>
      <c r="H358" s="28" t="n">
        <v>0.011164194</v>
      </c>
      <c r="K358" s="15" t="n">
        <f aca="false">MIN(ABS(F358-$B$322), ABS(F358-180-$B$322), ABS(F358+180-$B$322))</f>
        <v>38.047272727</v>
      </c>
    </row>
    <row r="359" customFormat="false" ht="14.25" hidden="false" customHeight="false" outlineLevel="0" collapsed="false">
      <c r="F359" s="18" t="n">
        <v>61.363636364</v>
      </c>
      <c r="G359" s="18" t="n">
        <v>0.006112681</v>
      </c>
      <c r="H359" s="28" t="n">
        <v>0.011164194</v>
      </c>
      <c r="K359" s="15" t="n">
        <f aca="false">MIN(ABS(F359-$B$322), ABS(F359-180-$B$322), ABS(F359+180-$B$322))</f>
        <v>33.956363636</v>
      </c>
    </row>
    <row r="360" customFormat="false" ht="14.25" hidden="false" customHeight="false" outlineLevel="0" collapsed="false">
      <c r="F360" s="18" t="n">
        <v>65.454545455</v>
      </c>
      <c r="G360" s="18" t="n">
        <v>0.007291601</v>
      </c>
      <c r="H360" s="28" t="n">
        <v>0.011164194</v>
      </c>
      <c r="K360" s="15" t="n">
        <f aca="false">MIN(ABS(F360-$B$322), ABS(F360-180-$B$322), ABS(F360+180-$B$322))</f>
        <v>29.865454545</v>
      </c>
    </row>
    <row r="361" customFormat="false" ht="14.25" hidden="false" customHeight="false" outlineLevel="0" collapsed="false">
      <c r="F361" s="18" t="n">
        <v>69.545454545</v>
      </c>
      <c r="G361" s="18" t="n">
        <v>0.009355484</v>
      </c>
      <c r="H361" s="28" t="n">
        <v>0.011164194</v>
      </c>
      <c r="K361" s="15" t="n">
        <f aca="false">MIN(ABS(F361-$B$322), ABS(F361-180-$B$322), ABS(F361+180-$B$322))</f>
        <v>25.774545455</v>
      </c>
    </row>
    <row r="362" customFormat="false" ht="14.25" hidden="false" customHeight="false" outlineLevel="0" collapsed="false">
      <c r="F362" s="18" t="n">
        <v>73.636363636</v>
      </c>
      <c r="G362" s="18" t="n">
        <v>0.012063598</v>
      </c>
      <c r="H362" s="28" t="n">
        <v>0.011164194</v>
      </c>
      <c r="K362" s="15" t="n">
        <f aca="false">MIN(ABS(F362-$B$322), ABS(F362-180-$B$322), ABS(F362+180-$B$322))</f>
        <v>21.683636364</v>
      </c>
    </row>
    <row r="363" customFormat="false" ht="14.25" hidden="false" customHeight="false" outlineLevel="0" collapsed="false">
      <c r="F363" s="18" t="n">
        <v>77.727272727</v>
      </c>
      <c r="G363" s="18" t="n">
        <v>0.019937637</v>
      </c>
      <c r="H363" s="28" t="n">
        <v>0.011164194</v>
      </c>
      <c r="K363" s="15" t="n">
        <f aca="false">MIN(ABS(F363-$B$322), ABS(F363-180-$B$322), ABS(F363+180-$B$322))</f>
        <v>17.592727273</v>
      </c>
    </row>
    <row r="364" s="19" customFormat="true" ht="14.25" hidden="false" customHeight="false" outlineLevel="0" collapsed="false">
      <c r="A364" s="1"/>
      <c r="B364" s="1"/>
      <c r="C364" s="1"/>
      <c r="D364" s="1"/>
      <c r="E364" s="1"/>
      <c r="F364" s="18" t="n">
        <v>81.818181818</v>
      </c>
      <c r="G364" s="18" t="n">
        <v>0.035962108</v>
      </c>
      <c r="H364" s="28" t="n">
        <v>0.011164194</v>
      </c>
      <c r="I364" s="1"/>
      <c r="J364" s="1"/>
      <c r="K364" s="15" t="n">
        <f aca="false">MIN(ABS(F364-$B$322), ABS(F364-180-$B$322), ABS(F364+180-$B$322))</f>
        <v>13.501818182</v>
      </c>
      <c r="L364" s="1"/>
      <c r="M364" s="1"/>
    </row>
    <row r="365" customFormat="false" ht="14.25" hidden="false" customHeight="false" outlineLevel="0" collapsed="false">
      <c r="F365" s="18" t="n">
        <v>85.909090909</v>
      </c>
      <c r="G365" s="18" t="n">
        <v>0.060321455</v>
      </c>
      <c r="H365" s="28" t="n">
        <v>0.011164194</v>
      </c>
      <c r="K365" s="15" t="n">
        <f aca="false">MIN(ABS(F365-$B$322), ABS(F365-180-$B$322), ABS(F365+180-$B$322))</f>
        <v>9.41090909099999</v>
      </c>
    </row>
    <row r="366" customFormat="false" ht="14.25" hidden="false" customHeight="false" outlineLevel="0" collapsed="false">
      <c r="A366" s="19"/>
      <c r="B366" s="19"/>
      <c r="C366" s="19"/>
      <c r="D366" s="19"/>
      <c r="E366" s="19"/>
      <c r="F366" s="32" t="n">
        <v>90</v>
      </c>
      <c r="G366" s="32" t="n">
        <v>0.106807074</v>
      </c>
      <c r="H366" s="33" t="n">
        <v>0.011164194</v>
      </c>
      <c r="I366" s="19"/>
      <c r="J366" s="19"/>
      <c r="K366" s="15" t="n">
        <f aca="false">MIN(ABS(F366-$B$322), ABS(F366-180-$B$322), ABS(F366+180-$B$322))</f>
        <v>5.31999999999999</v>
      </c>
      <c r="L366" s="19"/>
      <c r="M366" s="19"/>
    </row>
    <row r="367" customFormat="false" ht="14.25" hidden="false" customHeight="false" outlineLevel="0" collapsed="false">
      <c r="A367" s="14" t="n">
        <v>20241115</v>
      </c>
      <c r="B367" s="14" t="n">
        <v>-85.78</v>
      </c>
      <c r="C367" s="14" t="n">
        <v>5.34</v>
      </c>
      <c r="D367" s="14" t="n">
        <v>0.53</v>
      </c>
      <c r="E367" s="14" t="n">
        <v>0.72</v>
      </c>
      <c r="F367" s="18" t="n">
        <v>-90</v>
      </c>
      <c r="G367" s="18" t="n">
        <v>0.132773564</v>
      </c>
      <c r="H367" s="28" t="n">
        <v>0.138698084</v>
      </c>
      <c r="K367" s="15" t="n">
        <f aca="false">MIN(ABS(F367-$B$367), ABS(F367-180-$B$367), ABS(F367+180-$B$367))</f>
        <v>4.22</v>
      </c>
      <c r="L367" s="16" t="n">
        <f aca="false" t="array" ref="L367:L367">SQRT(SUMPRODUCT(G367:G411,K367:K411*K367:K411))</f>
        <v>19.8587143689317</v>
      </c>
      <c r="M367" s="3" t="n">
        <f aca="false" t="array" ref="M367:M367">SUMPRODUCT(G367:G411,ABS(K367:K411))</f>
        <v>10.9744187377118</v>
      </c>
    </row>
    <row r="368" customFormat="false" ht="14.25" hidden="false" customHeight="false" outlineLevel="0" collapsed="false">
      <c r="F368" s="18" t="n">
        <v>-85.909090909</v>
      </c>
      <c r="G368" s="18" t="n">
        <v>0.197159236</v>
      </c>
      <c r="H368" s="28" t="n">
        <v>0.185535745</v>
      </c>
      <c r="K368" s="15" t="n">
        <f aca="false">MIN(ABS(F368-$B$367), ABS(F368-180-$B$367), ABS(F368+180-$B$367))</f>
        <v>0.129090908999999</v>
      </c>
    </row>
    <row r="369" customFormat="false" ht="14.25" hidden="false" customHeight="false" outlineLevel="0" collapsed="false">
      <c r="F369" s="18" t="n">
        <v>-81.818181818</v>
      </c>
      <c r="G369" s="18" t="n">
        <v>0.131765454</v>
      </c>
      <c r="H369" s="28" t="n">
        <v>0.143576683</v>
      </c>
      <c r="K369" s="15" t="n">
        <f aca="false">MIN(ABS(F369-$B$367), ABS(F369-180-$B$367), ABS(F369+180-$B$367))</f>
        <v>3.961818182</v>
      </c>
      <c r="L369" s="1" t="n">
        <f aca="false">C367/L367</f>
        <v>0.268899582359382</v>
      </c>
    </row>
    <row r="370" customFormat="false" ht="14.25" hidden="false" customHeight="false" outlineLevel="0" collapsed="false">
      <c r="F370" s="18" t="n">
        <v>-77.727272727</v>
      </c>
      <c r="G370" s="18" t="n">
        <v>0.068594383</v>
      </c>
      <c r="H370" s="28" t="n">
        <v>0.06696237</v>
      </c>
      <c r="K370" s="15" t="n">
        <f aca="false">MIN(ABS(F370-$B$367), ABS(F370-180-$B$367), ABS(F370+180-$B$367))</f>
        <v>8.052727273</v>
      </c>
    </row>
    <row r="371" customFormat="false" ht="14.25" hidden="false" customHeight="false" outlineLevel="0" collapsed="false">
      <c r="F371" s="18" t="n">
        <v>-73.636363636</v>
      </c>
      <c r="G371" s="18" t="n">
        <v>0.038082116</v>
      </c>
      <c r="H371" s="28" t="n">
        <v>0.02411768</v>
      </c>
      <c r="K371" s="15" t="n">
        <f aca="false">MIN(ABS(F371-$B$367), ABS(F371-180-$B$367), ABS(F371+180-$B$367))</f>
        <v>12.143636364</v>
      </c>
    </row>
    <row r="372" customFormat="false" ht="14.25" hidden="false" customHeight="false" outlineLevel="0" collapsed="false">
      <c r="F372" s="18" t="n">
        <v>-69.545454545</v>
      </c>
      <c r="G372" s="18" t="n">
        <v>0.023691835</v>
      </c>
      <c r="H372" s="28" t="n">
        <v>0.012694851</v>
      </c>
      <c r="K372" s="15" t="n">
        <f aca="false">MIN(ABS(F372-$B$367), ABS(F372-180-$B$367), ABS(F372+180-$B$367))</f>
        <v>16.234545455</v>
      </c>
    </row>
    <row r="373" customFormat="false" ht="14.25" hidden="false" customHeight="false" outlineLevel="0" collapsed="false">
      <c r="F373" s="18" t="n">
        <v>-65.454545455</v>
      </c>
      <c r="G373" s="18" t="n">
        <v>0.01281516</v>
      </c>
      <c r="H373" s="28" t="n">
        <v>0.011105855</v>
      </c>
      <c r="K373" s="15" t="n">
        <f aca="false">MIN(ABS(F373-$B$367), ABS(F373-180-$B$367), ABS(F373+180-$B$367))</f>
        <v>20.325454545</v>
      </c>
    </row>
    <row r="374" customFormat="false" ht="14.25" hidden="false" customHeight="false" outlineLevel="0" collapsed="false">
      <c r="F374" s="18" t="n">
        <v>-61.363636364</v>
      </c>
      <c r="G374" s="18" t="n">
        <v>0.009215031</v>
      </c>
      <c r="H374" s="28" t="n">
        <v>0.010986677</v>
      </c>
      <c r="K374" s="15" t="n">
        <f aca="false">MIN(ABS(F374-$B$367), ABS(F374-180-$B$367), ABS(F374+180-$B$367))</f>
        <v>24.416363636</v>
      </c>
    </row>
    <row r="375" customFormat="false" ht="14.25" hidden="false" customHeight="false" outlineLevel="0" collapsed="false">
      <c r="F375" s="18" t="n">
        <v>-57.272727273</v>
      </c>
      <c r="G375" s="18" t="n">
        <v>0.006745296</v>
      </c>
      <c r="H375" s="28" t="n">
        <v>0.010981786</v>
      </c>
      <c r="K375" s="15" t="n">
        <f aca="false">MIN(ABS(F375-$B$367), ABS(F375-180-$B$367), ABS(F375+180-$B$367))</f>
        <v>28.507272727</v>
      </c>
    </row>
    <row r="376" customFormat="false" ht="14.25" hidden="false" customHeight="false" outlineLevel="0" collapsed="false">
      <c r="F376" s="18" t="n">
        <v>-53.181818182</v>
      </c>
      <c r="G376" s="18" t="n">
        <v>0.005666523</v>
      </c>
      <c r="H376" s="28" t="n">
        <v>0.010981675</v>
      </c>
      <c r="K376" s="15" t="n">
        <f aca="false">MIN(ABS(F376-$B$367), ABS(F376-180-$B$367), ABS(F376+180-$B$367))</f>
        <v>32.598181818</v>
      </c>
    </row>
    <row r="377" customFormat="false" ht="14.25" hidden="false" customHeight="false" outlineLevel="0" collapsed="false">
      <c r="F377" s="18" t="n">
        <v>-49.090909091</v>
      </c>
      <c r="G377" s="18" t="n">
        <v>0.004548153</v>
      </c>
      <c r="H377" s="28" t="n">
        <v>0.010981674</v>
      </c>
      <c r="K377" s="15" t="n">
        <f aca="false">MIN(ABS(F377-$B$367), ABS(F377-180-$B$367), ABS(F377+180-$B$367))</f>
        <v>36.689090909</v>
      </c>
    </row>
    <row r="378" customFormat="false" ht="14.25" hidden="false" customHeight="false" outlineLevel="0" collapsed="false">
      <c r="F378" s="18" t="n">
        <v>-45</v>
      </c>
      <c r="G378" s="18" t="n">
        <v>0.004022433</v>
      </c>
      <c r="H378" s="28" t="n">
        <v>0.010981674</v>
      </c>
      <c r="K378" s="15" t="n">
        <f aca="false">MIN(ABS(F378-$B$367), ABS(F378-180-$B$367), ABS(F378+180-$B$367))</f>
        <v>40.78</v>
      </c>
    </row>
    <row r="379" customFormat="false" ht="14.25" hidden="false" customHeight="false" outlineLevel="0" collapsed="false">
      <c r="F379" s="18" t="n">
        <v>-40.909090909</v>
      </c>
      <c r="G379" s="18" t="n">
        <v>0.003624305</v>
      </c>
      <c r="H379" s="28" t="n">
        <v>0.010981674</v>
      </c>
      <c r="K379" s="15" t="n">
        <f aca="false">MIN(ABS(F379-$B$367), ABS(F379-180-$B$367), ABS(F379+180-$B$367))</f>
        <v>44.870909091</v>
      </c>
    </row>
    <row r="380" customFormat="false" ht="14.25" hidden="false" customHeight="false" outlineLevel="0" collapsed="false">
      <c r="F380" s="18" t="n">
        <v>-36.818181818</v>
      </c>
      <c r="G380" s="18" t="n">
        <v>0.003436718</v>
      </c>
      <c r="H380" s="28" t="n">
        <v>0.010981674</v>
      </c>
      <c r="K380" s="15" t="n">
        <f aca="false">MIN(ABS(F380-$B$367), ABS(F380-180-$B$367), ABS(F380+180-$B$367))</f>
        <v>48.961818182</v>
      </c>
    </row>
    <row r="381" customFormat="false" ht="14.25" hidden="false" customHeight="false" outlineLevel="0" collapsed="false">
      <c r="F381" s="18" t="n">
        <v>-32.727272727</v>
      </c>
      <c r="G381" s="18" t="n">
        <v>0.003329931</v>
      </c>
      <c r="H381" s="28" t="n">
        <v>0.010981674</v>
      </c>
      <c r="K381" s="15" t="n">
        <f aca="false">MIN(ABS(F381-$B$367), ABS(F381-180-$B$367), ABS(F381+180-$B$367))</f>
        <v>53.052727273</v>
      </c>
    </row>
    <row r="382" customFormat="false" ht="14.25" hidden="false" customHeight="false" outlineLevel="0" collapsed="false">
      <c r="F382" s="18" t="n">
        <v>-28.636363636</v>
      </c>
      <c r="G382" s="18" t="n">
        <v>0.003220902</v>
      </c>
      <c r="H382" s="28" t="n">
        <v>0.010981674</v>
      </c>
      <c r="K382" s="15" t="n">
        <f aca="false">MIN(ABS(F382-$B$367), ABS(F382-180-$B$367), ABS(F382+180-$B$367))</f>
        <v>57.143636364</v>
      </c>
    </row>
    <row r="383" customFormat="false" ht="14.25" hidden="false" customHeight="false" outlineLevel="0" collapsed="false">
      <c r="F383" s="18" t="n">
        <v>-24.545454545</v>
      </c>
      <c r="G383" s="18" t="n">
        <v>0.00294913</v>
      </c>
      <c r="H383" s="28" t="n">
        <v>0.010981674</v>
      </c>
      <c r="K383" s="15" t="n">
        <f aca="false">MIN(ABS(F383-$B$367), ABS(F383-180-$B$367), ABS(F383+180-$B$367))</f>
        <v>61.234545455</v>
      </c>
    </row>
    <row r="384" customFormat="false" ht="14.25" hidden="false" customHeight="false" outlineLevel="0" collapsed="false">
      <c r="F384" s="18" t="n">
        <v>-20.454545455</v>
      </c>
      <c r="G384" s="18" t="n">
        <v>0.002580337</v>
      </c>
      <c r="H384" s="28" t="n">
        <v>0.010981674</v>
      </c>
      <c r="K384" s="15" t="n">
        <f aca="false">MIN(ABS(F384-$B$367), ABS(F384-180-$B$367), ABS(F384+180-$B$367))</f>
        <v>65.325454545</v>
      </c>
    </row>
    <row r="385" customFormat="false" ht="14.25" hidden="false" customHeight="false" outlineLevel="0" collapsed="false">
      <c r="F385" s="18" t="n">
        <v>-16.363636364</v>
      </c>
      <c r="G385" s="18" t="n">
        <v>0.002357697</v>
      </c>
      <c r="H385" s="28" t="n">
        <v>0.010981674</v>
      </c>
      <c r="K385" s="15" t="n">
        <f aca="false">MIN(ABS(F385-$B$367), ABS(F385-180-$B$367), ABS(F385+180-$B$367))</f>
        <v>69.416363636</v>
      </c>
    </row>
    <row r="386" customFormat="false" ht="14.25" hidden="false" customHeight="false" outlineLevel="0" collapsed="false">
      <c r="F386" s="18" t="n">
        <v>-12.272727273</v>
      </c>
      <c r="G386" s="18" t="n">
        <v>0.002592763</v>
      </c>
      <c r="H386" s="28" t="n">
        <v>0.010981674</v>
      </c>
      <c r="K386" s="15" t="n">
        <f aca="false">MIN(ABS(F386-$B$367), ABS(F386-180-$B$367), ABS(F386+180-$B$367))</f>
        <v>73.507272727</v>
      </c>
    </row>
    <row r="387" customFormat="false" ht="14.25" hidden="false" customHeight="false" outlineLevel="0" collapsed="false">
      <c r="F387" s="18" t="n">
        <v>-8.181818182</v>
      </c>
      <c r="G387" s="18" t="n">
        <v>0.002442388</v>
      </c>
      <c r="H387" s="28" t="n">
        <v>0.010981674</v>
      </c>
      <c r="K387" s="15" t="n">
        <f aca="false">MIN(ABS(F387-$B$367), ABS(F387-180-$B$367), ABS(F387+180-$B$367))</f>
        <v>77.598181818</v>
      </c>
    </row>
    <row r="388" customFormat="false" ht="14.25" hidden="false" customHeight="false" outlineLevel="0" collapsed="false">
      <c r="F388" s="18" t="n">
        <v>-4.090909091</v>
      </c>
      <c r="G388" s="18" t="n">
        <v>0.002481635</v>
      </c>
      <c r="H388" s="28" t="n">
        <v>0.010981674</v>
      </c>
      <c r="K388" s="15" t="n">
        <f aca="false">MIN(ABS(F388-$B$367), ABS(F388-180-$B$367), ABS(F388+180-$B$367))</f>
        <v>81.689090909</v>
      </c>
    </row>
    <row r="389" customFormat="false" ht="14.25" hidden="false" customHeight="false" outlineLevel="0" collapsed="false">
      <c r="F389" s="18" t="n">
        <v>0</v>
      </c>
      <c r="G389" s="18" t="n">
        <v>0.003101712</v>
      </c>
      <c r="H389" s="28" t="n">
        <v>0.010981674</v>
      </c>
      <c r="K389" s="15" t="n">
        <f aca="false">MIN(ABS(F389-$B$367), ABS(F389-180-$B$367), ABS(F389+180-$B$367))</f>
        <v>85.78</v>
      </c>
    </row>
    <row r="390" customFormat="false" ht="14.25" hidden="false" customHeight="false" outlineLevel="0" collapsed="false">
      <c r="F390" s="18" t="n">
        <v>4.090909091</v>
      </c>
      <c r="G390" s="18" t="n">
        <v>0.002569968</v>
      </c>
      <c r="H390" s="28" t="n">
        <v>0.010981674</v>
      </c>
      <c r="K390" s="15" t="n">
        <f aca="false">MIN(ABS(F390-$B$367), ABS(F390-180-$B$367), ABS(F390+180-$B$367))</f>
        <v>89.870909091</v>
      </c>
    </row>
    <row r="391" customFormat="false" ht="14.25" hidden="false" customHeight="false" outlineLevel="0" collapsed="false">
      <c r="F391" s="18" t="n">
        <v>8.181818182</v>
      </c>
      <c r="G391" s="18" t="n">
        <v>0.002504157</v>
      </c>
      <c r="H391" s="28" t="n">
        <v>0.010981674</v>
      </c>
      <c r="K391" s="15" t="n">
        <f aca="false">MIN(ABS(F391-$B$367), ABS(F391-180-$B$367), ABS(F391+180-$B$367))</f>
        <v>86.038181818</v>
      </c>
    </row>
    <row r="392" customFormat="false" ht="14.25" hidden="false" customHeight="false" outlineLevel="0" collapsed="false">
      <c r="F392" s="18" t="n">
        <v>12.272727273</v>
      </c>
      <c r="G392" s="18" t="n">
        <v>0.002414839</v>
      </c>
      <c r="H392" s="28" t="n">
        <v>0.010981674</v>
      </c>
      <c r="K392" s="15" t="n">
        <f aca="false">MIN(ABS(F392-$B$367), ABS(F392-180-$B$367), ABS(F392+180-$B$367))</f>
        <v>81.947272727</v>
      </c>
    </row>
    <row r="393" customFormat="false" ht="14.25" hidden="false" customHeight="false" outlineLevel="0" collapsed="false">
      <c r="F393" s="18" t="n">
        <v>16.363636364</v>
      </c>
      <c r="G393" s="18" t="n">
        <v>0.002484817</v>
      </c>
      <c r="H393" s="28" t="n">
        <v>0.010981674</v>
      </c>
      <c r="K393" s="15" t="n">
        <f aca="false">MIN(ABS(F393-$B$367), ABS(F393-180-$B$367), ABS(F393+180-$B$367))</f>
        <v>77.856363636</v>
      </c>
    </row>
    <row r="394" customFormat="false" ht="14.25" hidden="false" customHeight="false" outlineLevel="0" collapsed="false">
      <c r="F394" s="18" t="n">
        <v>20.454545455</v>
      </c>
      <c r="G394" s="18" t="n">
        <v>0.002609518</v>
      </c>
      <c r="H394" s="28" t="n">
        <v>0.010981674</v>
      </c>
      <c r="K394" s="15" t="n">
        <f aca="false">MIN(ABS(F394-$B$367), ABS(F394-180-$B$367), ABS(F394+180-$B$367))</f>
        <v>73.765454545</v>
      </c>
    </row>
    <row r="395" customFormat="false" ht="14.25" hidden="false" customHeight="false" outlineLevel="0" collapsed="false">
      <c r="F395" s="18" t="n">
        <v>24.545454545</v>
      </c>
      <c r="G395" s="18" t="n">
        <v>0.002645464</v>
      </c>
      <c r="H395" s="28" t="n">
        <v>0.010981674</v>
      </c>
      <c r="K395" s="15" t="n">
        <f aca="false">MIN(ABS(F395-$B$367), ABS(F395-180-$B$367), ABS(F395+180-$B$367))</f>
        <v>69.674545455</v>
      </c>
    </row>
    <row r="396" customFormat="false" ht="14.25" hidden="false" customHeight="false" outlineLevel="0" collapsed="false">
      <c r="F396" s="18" t="n">
        <v>28.636363636</v>
      </c>
      <c r="G396" s="18" t="n">
        <v>0.00254503</v>
      </c>
      <c r="H396" s="28" t="n">
        <v>0.010981674</v>
      </c>
      <c r="K396" s="15" t="n">
        <f aca="false">MIN(ABS(F396-$B$367), ABS(F396-180-$B$367), ABS(F396+180-$B$367))</f>
        <v>65.583636364</v>
      </c>
    </row>
    <row r="397" customFormat="false" ht="14.25" hidden="false" customHeight="false" outlineLevel="0" collapsed="false">
      <c r="F397" s="18" t="n">
        <v>32.727272727</v>
      </c>
      <c r="G397" s="18" t="n">
        <v>0.002469419</v>
      </c>
      <c r="H397" s="28" t="n">
        <v>0.010981674</v>
      </c>
      <c r="K397" s="15" t="n">
        <f aca="false">MIN(ABS(F397-$B$367), ABS(F397-180-$B$367), ABS(F397+180-$B$367))</f>
        <v>61.492727273</v>
      </c>
    </row>
    <row r="398" customFormat="false" ht="14.25" hidden="false" customHeight="false" outlineLevel="0" collapsed="false">
      <c r="F398" s="18" t="n">
        <v>36.818181818</v>
      </c>
      <c r="G398" s="18" t="n">
        <v>0.002893136</v>
      </c>
      <c r="H398" s="28" t="n">
        <v>0.010981674</v>
      </c>
      <c r="K398" s="15" t="n">
        <f aca="false">MIN(ABS(F398-$B$367), ABS(F398-180-$B$367), ABS(F398+180-$B$367))</f>
        <v>57.401818182</v>
      </c>
    </row>
    <row r="399" customFormat="false" ht="14.25" hidden="false" customHeight="false" outlineLevel="0" collapsed="false">
      <c r="F399" s="18" t="n">
        <v>40.909090909</v>
      </c>
      <c r="G399" s="18" t="n">
        <v>0.002724009</v>
      </c>
      <c r="H399" s="28" t="n">
        <v>0.010981674</v>
      </c>
      <c r="K399" s="15" t="n">
        <f aca="false">MIN(ABS(F399-$B$367), ABS(F399-180-$B$367), ABS(F399+180-$B$367))</f>
        <v>53.310909091</v>
      </c>
    </row>
    <row r="400" customFormat="false" ht="14.25" hidden="false" customHeight="false" outlineLevel="0" collapsed="false">
      <c r="F400" s="18" t="n">
        <v>45</v>
      </c>
      <c r="G400" s="18" t="n">
        <v>0.002724431</v>
      </c>
      <c r="H400" s="28" t="n">
        <v>0.010981674</v>
      </c>
      <c r="K400" s="15" t="n">
        <f aca="false">MIN(ABS(F400-$B$367), ABS(F400-180-$B$367), ABS(F400+180-$B$367))</f>
        <v>49.22</v>
      </c>
    </row>
    <row r="401" customFormat="false" ht="14.25" hidden="false" customHeight="false" outlineLevel="0" collapsed="false">
      <c r="F401" s="18" t="n">
        <v>49.090909091</v>
      </c>
      <c r="G401" s="18" t="n">
        <v>0.003027093</v>
      </c>
      <c r="H401" s="28" t="n">
        <v>0.010981674</v>
      </c>
      <c r="K401" s="15" t="n">
        <f aca="false">MIN(ABS(F401-$B$367), ABS(F401-180-$B$367), ABS(F401+180-$B$367))</f>
        <v>45.129090909</v>
      </c>
    </row>
    <row r="402" customFormat="false" ht="14.25" hidden="false" customHeight="false" outlineLevel="0" collapsed="false">
      <c r="F402" s="18" t="n">
        <v>53.181818182</v>
      </c>
      <c r="G402" s="18" t="n">
        <v>0.003836984</v>
      </c>
      <c r="H402" s="28" t="n">
        <v>0.010981674</v>
      </c>
      <c r="K402" s="15" t="n">
        <f aca="false">MIN(ABS(F402-$B$367), ABS(F402-180-$B$367), ABS(F402+180-$B$367))</f>
        <v>41.038181818</v>
      </c>
    </row>
    <row r="403" customFormat="false" ht="14.25" hidden="false" customHeight="false" outlineLevel="0" collapsed="false">
      <c r="F403" s="18" t="n">
        <v>57.272727273</v>
      </c>
      <c r="G403" s="18" t="n">
        <v>0.004942886</v>
      </c>
      <c r="H403" s="28" t="n">
        <v>0.010981674</v>
      </c>
      <c r="K403" s="15" t="n">
        <f aca="false">MIN(ABS(F403-$B$367), ABS(F403-180-$B$367), ABS(F403+180-$B$367))</f>
        <v>36.947272727</v>
      </c>
    </row>
    <row r="404" customFormat="false" ht="14.25" hidden="false" customHeight="false" outlineLevel="0" collapsed="false">
      <c r="F404" s="18" t="n">
        <v>61.363636364</v>
      </c>
      <c r="G404" s="18" t="n">
        <v>0.005927559</v>
      </c>
      <c r="H404" s="28" t="n">
        <v>0.010981674</v>
      </c>
      <c r="K404" s="15" t="n">
        <f aca="false">MIN(ABS(F404-$B$367), ABS(F404-180-$B$367), ABS(F404+180-$B$367))</f>
        <v>32.856363636</v>
      </c>
    </row>
    <row r="405" customFormat="false" ht="14.25" hidden="false" customHeight="false" outlineLevel="0" collapsed="false">
      <c r="F405" s="18" t="n">
        <v>65.454545455</v>
      </c>
      <c r="G405" s="18" t="n">
        <v>0.007023742</v>
      </c>
      <c r="H405" s="28" t="n">
        <v>0.010981674</v>
      </c>
      <c r="K405" s="15" t="n">
        <f aca="false">MIN(ABS(F405-$B$367), ABS(F405-180-$B$367), ABS(F405+180-$B$367))</f>
        <v>28.765454545</v>
      </c>
    </row>
    <row r="406" customFormat="false" ht="14.25" hidden="false" customHeight="false" outlineLevel="0" collapsed="false">
      <c r="F406" s="18" t="n">
        <v>69.545454545</v>
      </c>
      <c r="G406" s="18" t="n">
        <v>0.008578825</v>
      </c>
      <c r="H406" s="28" t="n">
        <v>0.010981674</v>
      </c>
      <c r="K406" s="15" t="n">
        <f aca="false">MIN(ABS(F406-$B$367), ABS(F406-180-$B$367), ABS(F406+180-$B$367))</f>
        <v>24.674545455</v>
      </c>
    </row>
    <row r="407" customFormat="false" ht="14.25" hidden="false" customHeight="false" outlineLevel="0" collapsed="false">
      <c r="F407" s="18" t="n">
        <v>73.636363636</v>
      </c>
      <c r="G407" s="18" t="n">
        <v>0.011468732</v>
      </c>
      <c r="H407" s="28" t="n">
        <v>0.010981674</v>
      </c>
      <c r="K407" s="15" t="n">
        <f aca="false">MIN(ABS(F407-$B$367), ABS(F407-180-$B$367), ABS(F407+180-$B$367))</f>
        <v>20.583636364</v>
      </c>
    </row>
    <row r="408" customFormat="false" ht="14.25" hidden="false" customHeight="false" outlineLevel="0" collapsed="false">
      <c r="F408" s="18" t="n">
        <v>77.727272727</v>
      </c>
      <c r="G408" s="18" t="n">
        <v>0.019101427</v>
      </c>
      <c r="H408" s="28" t="n">
        <v>0.010981674</v>
      </c>
      <c r="K408" s="15" t="n">
        <f aca="false">MIN(ABS(F408-$B$367), ABS(F408-180-$B$367), ABS(F408+180-$B$367))</f>
        <v>16.492727273</v>
      </c>
    </row>
    <row r="409" s="19" customFormat="true" ht="14.25" hidden="false" customHeight="false" outlineLevel="0" collapsed="false">
      <c r="A409" s="1"/>
      <c r="B409" s="1"/>
      <c r="C409" s="1"/>
      <c r="D409" s="1"/>
      <c r="E409" s="1"/>
      <c r="F409" s="18" t="n">
        <v>81.818181818</v>
      </c>
      <c r="G409" s="18" t="n">
        <v>0.03701451</v>
      </c>
      <c r="H409" s="28" t="n">
        <v>0.010981674</v>
      </c>
      <c r="I409" s="1"/>
      <c r="J409" s="1"/>
      <c r="K409" s="15" t="n">
        <f aca="false">MIN(ABS(F409-$B$367), ABS(F409-180-$B$367), ABS(F409+180-$B$367))</f>
        <v>12.401818182</v>
      </c>
      <c r="L409" s="1"/>
      <c r="M409" s="1"/>
    </row>
    <row r="410" customFormat="false" ht="14.25" hidden="false" customHeight="false" outlineLevel="0" collapsed="false">
      <c r="F410" s="18" t="n">
        <v>85.909090909</v>
      </c>
      <c r="G410" s="18" t="n">
        <v>0.070523188</v>
      </c>
      <c r="H410" s="28" t="n">
        <v>0.010981674</v>
      </c>
      <c r="K410" s="15" t="n">
        <f aca="false">MIN(ABS(F410-$B$367), ABS(F410-180-$B$367), ABS(F410+180-$B$367))</f>
        <v>8.310909091</v>
      </c>
    </row>
    <row r="411" customFormat="false" ht="14.25" hidden="false" customHeight="false" outlineLevel="0" collapsed="false">
      <c r="A411" s="19"/>
      <c r="B411" s="19"/>
      <c r="C411" s="19"/>
      <c r="D411" s="19"/>
      <c r="E411" s="19"/>
      <c r="F411" s="32" t="n">
        <v>90</v>
      </c>
      <c r="G411" s="32" t="n">
        <v>0.132773564</v>
      </c>
      <c r="H411" s="33" t="n">
        <v>0.010981674</v>
      </c>
      <c r="I411" s="19"/>
      <c r="J411" s="19"/>
      <c r="K411" s="15" t="n">
        <f aca="false">MIN(ABS(F411-$B$367), ABS(F411-180-$B$367), ABS(F411+180-$B$367))</f>
        <v>4.22</v>
      </c>
      <c r="L411" s="19"/>
      <c r="M411" s="19"/>
    </row>
    <row r="412" customFormat="false" ht="14.25" hidden="false" customHeight="false" outlineLevel="0" collapsed="false">
      <c r="A412" s="14" t="n">
        <v>20241115</v>
      </c>
      <c r="B412" s="14" t="n">
        <v>-87.98</v>
      </c>
      <c r="C412" s="14" t="n">
        <v>7.37</v>
      </c>
      <c r="D412" s="14" t="n">
        <v>0.49</v>
      </c>
      <c r="E412" s="14" t="n">
        <v>0.54</v>
      </c>
      <c r="F412" s="18" t="n">
        <v>-90</v>
      </c>
      <c r="G412" s="18" t="n">
        <v>0.139152381</v>
      </c>
      <c r="H412" s="28" t="n">
        <v>0.141015982</v>
      </c>
      <c r="K412" s="15" t="n">
        <f aca="false">MIN(ABS(F412-$B$412), ABS(F412-180-$B$412), ABS(F412+180-$B$412))</f>
        <v>2.02</v>
      </c>
      <c r="L412" s="16" t="n">
        <f aca="false" t="array" ref="L412:L412">SQRT(SUMPRODUCT(G412:G456,K412:K456*K412:K456))</f>
        <v>19.1767803434296</v>
      </c>
      <c r="M412" s="3" t="n">
        <f aca="false" t="array" ref="M412:M412">SUMPRODUCT(G412:G456,ABS(K412:K456))</f>
        <v>11.1135689793001</v>
      </c>
    </row>
    <row r="413" customFormat="false" ht="14.25" hidden="false" customHeight="false" outlineLevel="0" collapsed="false">
      <c r="F413" s="18" t="n">
        <v>-85.909090909</v>
      </c>
      <c r="G413" s="18" t="n">
        <v>0.145898833</v>
      </c>
      <c r="H413" s="28" t="n">
        <v>0.140752273</v>
      </c>
      <c r="K413" s="15" t="n">
        <f aca="false">MIN(ABS(F413-$B$412), ABS(F413-180-$B$412), ABS(F413+180-$B$412))</f>
        <v>2.070909091</v>
      </c>
    </row>
    <row r="414" customFormat="false" ht="14.25" hidden="false" customHeight="false" outlineLevel="0" collapsed="false">
      <c r="F414" s="18" t="n">
        <v>-81.818181818</v>
      </c>
      <c r="G414" s="18" t="n">
        <v>0.10084928</v>
      </c>
      <c r="H414" s="28" t="n">
        <v>0.106633256</v>
      </c>
      <c r="K414" s="15" t="n">
        <f aca="false">MIN(ABS(F414-$B$412), ABS(F414-180-$B$412), ABS(F414+180-$B$412))</f>
        <v>6.16181818200001</v>
      </c>
      <c r="L414" s="1" t="n">
        <f aca="false">C412/L412</f>
        <v>0.384318945517105</v>
      </c>
    </row>
    <row r="415" customFormat="false" ht="14.25" hidden="false" customHeight="false" outlineLevel="0" collapsed="false">
      <c r="F415" s="18" t="n">
        <v>-77.727272727</v>
      </c>
      <c r="G415" s="18" t="n">
        <v>0.064790971</v>
      </c>
      <c r="H415" s="28" t="n">
        <v>0.063350363</v>
      </c>
      <c r="K415" s="15" t="n">
        <f aca="false">MIN(ABS(F415-$B$412), ABS(F415-180-$B$412), ABS(F415+180-$B$412))</f>
        <v>10.252727273</v>
      </c>
    </row>
    <row r="416" customFormat="false" ht="14.25" hidden="false" customHeight="false" outlineLevel="0" collapsed="false">
      <c r="F416" s="18" t="n">
        <v>-73.636363636</v>
      </c>
      <c r="G416" s="18" t="n">
        <v>0.034697976</v>
      </c>
      <c r="H416" s="28" t="n">
        <v>0.032777082</v>
      </c>
      <c r="K416" s="15" t="n">
        <f aca="false">MIN(ABS(F416-$B$412), ABS(F416-180-$B$412), ABS(F416+180-$B$412))</f>
        <v>14.343636364</v>
      </c>
    </row>
    <row r="417" customFormat="false" ht="14.25" hidden="false" customHeight="false" outlineLevel="0" collapsed="false">
      <c r="F417" s="18" t="n">
        <v>-69.545454545</v>
      </c>
      <c r="G417" s="18" t="n">
        <v>0.021208233</v>
      </c>
      <c r="H417" s="28" t="n">
        <v>0.018551761</v>
      </c>
      <c r="K417" s="15" t="n">
        <f aca="false">MIN(ABS(F417-$B$412), ABS(F417-180-$B$412), ABS(F417+180-$B$412))</f>
        <v>18.434545455</v>
      </c>
    </row>
    <row r="418" customFormat="false" ht="14.25" hidden="false" customHeight="false" outlineLevel="0" collapsed="false">
      <c r="F418" s="18" t="n">
        <v>-65.454545455</v>
      </c>
      <c r="G418" s="18" t="n">
        <v>0.011854037</v>
      </c>
      <c r="H418" s="28" t="n">
        <v>0.013956056</v>
      </c>
      <c r="K418" s="15" t="n">
        <f aca="false">MIN(ABS(F418-$B$412), ABS(F418-180-$B$412), ABS(F418+180-$B$412))</f>
        <v>22.525454545</v>
      </c>
    </row>
    <row r="419" customFormat="false" ht="14.25" hidden="false" customHeight="false" outlineLevel="0" collapsed="false">
      <c r="F419" s="18" t="n">
        <v>-61.363636364</v>
      </c>
      <c r="G419" s="18" t="n">
        <v>0.008509389</v>
      </c>
      <c r="H419" s="28" t="n">
        <v>0.012900847</v>
      </c>
      <c r="K419" s="15" t="n">
        <f aca="false">MIN(ABS(F419-$B$412), ABS(F419-180-$B$412), ABS(F419+180-$B$412))</f>
        <v>26.616363636</v>
      </c>
    </row>
    <row r="420" customFormat="false" ht="14.25" hidden="false" customHeight="false" outlineLevel="0" collapsed="false">
      <c r="F420" s="18" t="n">
        <v>-57.272727273</v>
      </c>
      <c r="G420" s="18" t="n">
        <v>0.006392668</v>
      </c>
      <c r="H420" s="28" t="n">
        <v>0.012726525</v>
      </c>
      <c r="K420" s="15" t="n">
        <f aca="false">MIN(ABS(F420-$B$412), ABS(F420-180-$B$412), ABS(F420+180-$B$412))</f>
        <v>30.707272727</v>
      </c>
    </row>
    <row r="421" customFormat="false" ht="14.25" hidden="false" customHeight="false" outlineLevel="0" collapsed="false">
      <c r="F421" s="18" t="n">
        <v>-53.181818182</v>
      </c>
      <c r="G421" s="18" t="n">
        <v>0.006131038</v>
      </c>
      <c r="H421" s="28" t="n">
        <v>0.012705656</v>
      </c>
      <c r="K421" s="15" t="n">
        <f aca="false">MIN(ABS(F421-$B$412), ABS(F421-180-$B$412), ABS(F421+180-$B$412))</f>
        <v>34.798181818</v>
      </c>
    </row>
    <row r="422" customFormat="false" ht="14.25" hidden="false" customHeight="false" outlineLevel="0" collapsed="false">
      <c r="F422" s="18" t="n">
        <v>-49.090909091</v>
      </c>
      <c r="G422" s="18" t="n">
        <v>0.004445862</v>
      </c>
      <c r="H422" s="28" t="n">
        <v>0.012703838</v>
      </c>
      <c r="K422" s="15" t="n">
        <f aca="false">MIN(ABS(F422-$B$412), ABS(F422-180-$B$412), ABS(F422+180-$B$412))</f>
        <v>38.889090909</v>
      </c>
    </row>
    <row r="423" customFormat="false" ht="14.25" hidden="false" customHeight="false" outlineLevel="0" collapsed="false">
      <c r="F423" s="18" t="n">
        <v>-45</v>
      </c>
      <c r="G423" s="18" t="n">
        <v>0.004007863</v>
      </c>
      <c r="H423" s="28" t="n">
        <v>0.012703722</v>
      </c>
      <c r="K423" s="15" t="n">
        <f aca="false">MIN(ABS(F423-$B$412), ABS(F423-180-$B$412), ABS(F423+180-$B$412))</f>
        <v>42.98</v>
      </c>
    </row>
    <row r="424" customFormat="false" ht="14.25" hidden="false" customHeight="false" outlineLevel="0" collapsed="false">
      <c r="F424" s="18" t="n">
        <v>-40.909090909</v>
      </c>
      <c r="G424" s="18" t="n">
        <v>0.003185294</v>
      </c>
      <c r="H424" s="28" t="n">
        <v>0.012703716</v>
      </c>
      <c r="K424" s="15" t="n">
        <f aca="false">MIN(ABS(F424-$B$412), ABS(F424-180-$B$412), ABS(F424+180-$B$412))</f>
        <v>47.070909091</v>
      </c>
    </row>
    <row r="425" customFormat="false" ht="14.25" hidden="false" customHeight="false" outlineLevel="0" collapsed="false">
      <c r="F425" s="18" t="n">
        <v>-36.818181818</v>
      </c>
      <c r="G425" s="18" t="n">
        <v>0.002860758</v>
      </c>
      <c r="H425" s="28" t="n">
        <v>0.012703716</v>
      </c>
      <c r="K425" s="15" t="n">
        <f aca="false">MIN(ABS(F425-$B$412), ABS(F425-180-$B$412), ABS(F425+180-$B$412))</f>
        <v>51.161818182</v>
      </c>
    </row>
    <row r="426" customFormat="false" ht="14.25" hidden="false" customHeight="false" outlineLevel="0" collapsed="false">
      <c r="F426" s="18" t="n">
        <v>-32.727272727</v>
      </c>
      <c r="G426" s="18" t="n">
        <v>0.00252529</v>
      </c>
      <c r="H426" s="28" t="n">
        <v>0.012703716</v>
      </c>
      <c r="K426" s="15" t="n">
        <f aca="false">MIN(ABS(F426-$B$412), ABS(F426-180-$B$412), ABS(F426+180-$B$412))</f>
        <v>55.252727273</v>
      </c>
    </row>
    <row r="427" customFormat="false" ht="14.25" hidden="false" customHeight="false" outlineLevel="0" collapsed="false">
      <c r="F427" s="18" t="n">
        <v>-28.636363636</v>
      </c>
      <c r="G427" s="18" t="n">
        <v>0.002412748</v>
      </c>
      <c r="H427" s="28" t="n">
        <v>0.012703716</v>
      </c>
      <c r="K427" s="15" t="n">
        <f aca="false">MIN(ABS(F427-$B$412), ABS(F427-180-$B$412), ABS(F427+180-$B$412))</f>
        <v>59.343636364</v>
      </c>
    </row>
    <row r="428" customFormat="false" ht="14.25" hidden="false" customHeight="false" outlineLevel="0" collapsed="false">
      <c r="F428" s="18" t="n">
        <v>-24.545454545</v>
      </c>
      <c r="G428" s="18" t="n">
        <v>0.00248564</v>
      </c>
      <c r="H428" s="28" t="n">
        <v>0.012703716</v>
      </c>
      <c r="K428" s="15" t="n">
        <f aca="false">MIN(ABS(F428-$B$412), ABS(F428-180-$B$412), ABS(F428+180-$B$412))</f>
        <v>63.434545455</v>
      </c>
    </row>
    <row r="429" customFormat="false" ht="14.25" hidden="false" customHeight="false" outlineLevel="0" collapsed="false">
      <c r="F429" s="18" t="n">
        <v>-20.454545455</v>
      </c>
      <c r="G429" s="18" t="n">
        <v>0.002362447</v>
      </c>
      <c r="H429" s="28" t="n">
        <v>0.012703716</v>
      </c>
      <c r="K429" s="15" t="n">
        <f aca="false">MIN(ABS(F429-$B$412), ABS(F429-180-$B$412), ABS(F429+180-$B$412))</f>
        <v>67.525454545</v>
      </c>
    </row>
    <row r="430" customFormat="false" ht="14.25" hidden="false" customHeight="false" outlineLevel="0" collapsed="false">
      <c r="F430" s="18" t="n">
        <v>-16.363636364</v>
      </c>
      <c r="G430" s="18" t="n">
        <v>0.002363461</v>
      </c>
      <c r="H430" s="28" t="n">
        <v>0.012703716</v>
      </c>
      <c r="K430" s="15" t="n">
        <f aca="false">MIN(ABS(F430-$B$412), ABS(F430-180-$B$412), ABS(F430+180-$B$412))</f>
        <v>71.616363636</v>
      </c>
    </row>
    <row r="431" customFormat="false" ht="14.25" hidden="false" customHeight="false" outlineLevel="0" collapsed="false">
      <c r="F431" s="18" t="n">
        <v>-12.272727273</v>
      </c>
      <c r="G431" s="18" t="n">
        <v>0.002438541</v>
      </c>
      <c r="H431" s="28" t="n">
        <v>0.012703716</v>
      </c>
      <c r="K431" s="15" t="n">
        <f aca="false">MIN(ABS(F431-$B$412), ABS(F431-180-$B$412), ABS(F431+180-$B$412))</f>
        <v>75.707272727</v>
      </c>
    </row>
    <row r="432" customFormat="false" ht="14.25" hidden="false" customHeight="false" outlineLevel="0" collapsed="false">
      <c r="F432" s="18" t="n">
        <v>-8.181818182</v>
      </c>
      <c r="G432" s="18" t="n">
        <v>0.002380429</v>
      </c>
      <c r="H432" s="28" t="n">
        <v>0.012703716</v>
      </c>
      <c r="K432" s="15" t="n">
        <f aca="false">MIN(ABS(F432-$B$412), ABS(F432-180-$B$412), ABS(F432+180-$B$412))</f>
        <v>79.798181818</v>
      </c>
    </row>
    <row r="433" customFormat="false" ht="14.25" hidden="false" customHeight="false" outlineLevel="0" collapsed="false">
      <c r="F433" s="18" t="n">
        <v>-4.090909091</v>
      </c>
      <c r="G433" s="18" t="n">
        <v>0.001825859</v>
      </c>
      <c r="H433" s="28" t="n">
        <v>0.012703716</v>
      </c>
      <c r="K433" s="15" t="n">
        <f aca="false">MIN(ABS(F433-$B$412), ABS(F433-180-$B$412), ABS(F433+180-$B$412))</f>
        <v>83.889090909</v>
      </c>
    </row>
    <row r="434" customFormat="false" ht="14.25" hidden="false" customHeight="false" outlineLevel="0" collapsed="false">
      <c r="F434" s="18" t="n">
        <v>0</v>
      </c>
      <c r="G434" s="18" t="n">
        <v>0.002204662</v>
      </c>
      <c r="H434" s="28" t="n">
        <v>0.012703716</v>
      </c>
      <c r="K434" s="15" t="n">
        <f aca="false">MIN(ABS(F434-$B$412), ABS(F434-180-$B$412), ABS(F434+180-$B$412))</f>
        <v>87.98</v>
      </c>
    </row>
    <row r="435" customFormat="false" ht="14.25" hidden="false" customHeight="false" outlineLevel="0" collapsed="false">
      <c r="F435" s="18" t="n">
        <v>4.090909091</v>
      </c>
      <c r="G435" s="18" t="n">
        <v>0.001771942</v>
      </c>
      <c r="H435" s="28" t="n">
        <v>0.012703716</v>
      </c>
      <c r="K435" s="15" t="n">
        <f aca="false">MIN(ABS(F435-$B$412), ABS(F435-180-$B$412), ABS(F435+180-$B$412))</f>
        <v>87.929090909</v>
      </c>
    </row>
    <row r="436" customFormat="false" ht="14.25" hidden="false" customHeight="false" outlineLevel="0" collapsed="false">
      <c r="F436" s="18" t="n">
        <v>8.181818182</v>
      </c>
      <c r="G436" s="18" t="n">
        <v>0.002025795</v>
      </c>
      <c r="H436" s="28" t="n">
        <v>0.012703716</v>
      </c>
      <c r="K436" s="15" t="n">
        <f aca="false">MIN(ABS(F436-$B$412), ABS(F436-180-$B$412), ABS(F436+180-$B$412))</f>
        <v>83.838181818</v>
      </c>
    </row>
    <row r="437" customFormat="false" ht="14.25" hidden="false" customHeight="false" outlineLevel="0" collapsed="false">
      <c r="F437" s="18" t="n">
        <v>12.272727273</v>
      </c>
      <c r="G437" s="18" t="n">
        <v>0.002296704</v>
      </c>
      <c r="H437" s="28" t="n">
        <v>0.012703716</v>
      </c>
      <c r="K437" s="15" t="n">
        <f aca="false">MIN(ABS(F437-$B$412), ABS(F437-180-$B$412), ABS(F437+180-$B$412))</f>
        <v>79.747272727</v>
      </c>
    </row>
    <row r="438" customFormat="false" ht="14.25" hidden="false" customHeight="false" outlineLevel="0" collapsed="false">
      <c r="F438" s="18" t="n">
        <v>16.363636364</v>
      </c>
      <c r="G438" s="18" t="n">
        <v>0.002060659</v>
      </c>
      <c r="H438" s="28" t="n">
        <v>0.012703716</v>
      </c>
      <c r="K438" s="15" t="n">
        <f aca="false">MIN(ABS(F438-$B$412), ABS(F438-180-$B$412), ABS(F438+180-$B$412))</f>
        <v>75.656363636</v>
      </c>
    </row>
    <row r="439" customFormat="false" ht="14.25" hidden="false" customHeight="false" outlineLevel="0" collapsed="false">
      <c r="F439" s="18" t="n">
        <v>20.454545455</v>
      </c>
      <c r="G439" s="18" t="n">
        <v>0.002458819</v>
      </c>
      <c r="H439" s="28" t="n">
        <v>0.012703716</v>
      </c>
      <c r="K439" s="15" t="n">
        <f aca="false">MIN(ABS(F439-$B$412), ABS(F439-180-$B$412), ABS(F439+180-$B$412))</f>
        <v>71.565454545</v>
      </c>
    </row>
    <row r="440" customFormat="false" ht="14.25" hidden="false" customHeight="false" outlineLevel="0" collapsed="false">
      <c r="F440" s="18" t="n">
        <v>24.545454545</v>
      </c>
      <c r="G440" s="18" t="n">
        <v>0.002299563</v>
      </c>
      <c r="H440" s="28" t="n">
        <v>0.012703716</v>
      </c>
      <c r="K440" s="15" t="n">
        <f aca="false">MIN(ABS(F440-$B$412), ABS(F440-180-$B$412), ABS(F440+180-$B$412))</f>
        <v>67.474545455</v>
      </c>
    </row>
    <row r="441" customFormat="false" ht="14.25" hidden="false" customHeight="false" outlineLevel="0" collapsed="false">
      <c r="F441" s="18" t="n">
        <v>28.636363636</v>
      </c>
      <c r="G441" s="18" t="n">
        <v>0.002266693</v>
      </c>
      <c r="H441" s="28" t="n">
        <v>0.012703716</v>
      </c>
      <c r="K441" s="15" t="n">
        <f aca="false">MIN(ABS(F441-$B$412), ABS(F441-180-$B$412), ABS(F441+180-$B$412))</f>
        <v>63.383636364</v>
      </c>
    </row>
    <row r="442" customFormat="false" ht="14.25" hidden="false" customHeight="false" outlineLevel="0" collapsed="false">
      <c r="F442" s="18" t="n">
        <v>32.727272727</v>
      </c>
      <c r="G442" s="18" t="n">
        <v>0.002479256</v>
      </c>
      <c r="H442" s="28" t="n">
        <v>0.012703716</v>
      </c>
      <c r="K442" s="15" t="n">
        <f aca="false">MIN(ABS(F442-$B$412), ABS(F442-180-$B$412), ABS(F442+180-$B$412))</f>
        <v>59.292727273</v>
      </c>
    </row>
    <row r="443" customFormat="false" ht="14.25" hidden="false" customHeight="false" outlineLevel="0" collapsed="false">
      <c r="F443" s="18" t="n">
        <v>36.818181818</v>
      </c>
      <c r="G443" s="18" t="n">
        <v>0.003025591</v>
      </c>
      <c r="H443" s="28" t="n">
        <v>0.012703716</v>
      </c>
      <c r="K443" s="15" t="n">
        <f aca="false">MIN(ABS(F443-$B$412), ABS(F443-180-$B$412), ABS(F443+180-$B$412))</f>
        <v>55.201818182</v>
      </c>
    </row>
    <row r="444" customFormat="false" ht="14.25" hidden="false" customHeight="false" outlineLevel="0" collapsed="false">
      <c r="F444" s="18" t="n">
        <v>40.909090909</v>
      </c>
      <c r="G444" s="18" t="n">
        <v>0.002688208</v>
      </c>
      <c r="H444" s="28" t="n">
        <v>0.012703716</v>
      </c>
      <c r="K444" s="15" t="n">
        <f aca="false">MIN(ABS(F444-$B$412), ABS(F444-180-$B$412), ABS(F444+180-$B$412))</f>
        <v>51.110909091</v>
      </c>
    </row>
    <row r="445" customFormat="false" ht="14.25" hidden="false" customHeight="false" outlineLevel="0" collapsed="false">
      <c r="F445" s="18" t="n">
        <v>45</v>
      </c>
      <c r="G445" s="18" t="n">
        <v>0.003292707</v>
      </c>
      <c r="H445" s="28" t="n">
        <v>0.012703716</v>
      </c>
      <c r="K445" s="15" t="n">
        <f aca="false">MIN(ABS(F445-$B$412), ABS(F445-180-$B$412), ABS(F445+180-$B$412))</f>
        <v>47.02</v>
      </c>
    </row>
    <row r="446" customFormat="false" ht="14.25" hidden="false" customHeight="false" outlineLevel="0" collapsed="false">
      <c r="F446" s="18" t="n">
        <v>49.090909091</v>
      </c>
      <c r="G446" s="18" t="n">
        <v>0.003384291</v>
      </c>
      <c r="H446" s="28" t="n">
        <v>0.012703716</v>
      </c>
      <c r="K446" s="15" t="n">
        <f aca="false">MIN(ABS(F446-$B$412), ABS(F446-180-$B$412), ABS(F446+180-$B$412))</f>
        <v>42.929090909</v>
      </c>
    </row>
    <row r="447" customFormat="false" ht="14.25" hidden="false" customHeight="false" outlineLevel="0" collapsed="false">
      <c r="F447" s="18" t="n">
        <v>53.181818182</v>
      </c>
      <c r="G447" s="18" t="n">
        <v>0.00391213</v>
      </c>
      <c r="H447" s="28" t="n">
        <v>0.012703716</v>
      </c>
      <c r="K447" s="15" t="n">
        <f aca="false">MIN(ABS(F447-$B$412), ABS(F447-180-$B$412), ABS(F447+180-$B$412))</f>
        <v>38.838181818</v>
      </c>
    </row>
    <row r="448" customFormat="false" ht="14.25" hidden="false" customHeight="false" outlineLevel="0" collapsed="false">
      <c r="F448" s="18" t="n">
        <v>57.272727273</v>
      </c>
      <c r="G448" s="18" t="n">
        <v>0.004031417</v>
      </c>
      <c r="H448" s="28" t="n">
        <v>0.012703716</v>
      </c>
      <c r="K448" s="15" t="n">
        <f aca="false">MIN(ABS(F448-$B$412), ABS(F448-180-$B$412), ABS(F448+180-$B$412))</f>
        <v>34.747272727</v>
      </c>
    </row>
    <row r="449" customFormat="false" ht="14.25" hidden="false" customHeight="false" outlineLevel="0" collapsed="false">
      <c r="F449" s="18" t="n">
        <v>61.363636364</v>
      </c>
      <c r="G449" s="18" t="n">
        <v>0.005446395</v>
      </c>
      <c r="H449" s="28" t="n">
        <v>0.012703716</v>
      </c>
      <c r="K449" s="15" t="n">
        <f aca="false">MIN(ABS(F449-$B$412), ABS(F449-180-$B$412), ABS(F449+180-$B$412))</f>
        <v>30.656363636</v>
      </c>
    </row>
    <row r="450" customFormat="false" ht="14.25" hidden="false" customHeight="false" outlineLevel="0" collapsed="false">
      <c r="F450" s="18" t="n">
        <v>65.454545455</v>
      </c>
      <c r="G450" s="18" t="n">
        <v>0.008755917</v>
      </c>
      <c r="H450" s="28" t="n">
        <v>0.012703716</v>
      </c>
      <c r="K450" s="15" t="n">
        <f aca="false">MIN(ABS(F450-$B$412), ABS(F450-180-$B$412), ABS(F450+180-$B$412))</f>
        <v>26.565454545</v>
      </c>
    </row>
    <row r="451" customFormat="false" ht="14.25" hidden="false" customHeight="false" outlineLevel="0" collapsed="false">
      <c r="F451" s="18" t="n">
        <v>69.545454545</v>
      </c>
      <c r="G451" s="18" t="n">
        <v>0.014952589</v>
      </c>
      <c r="H451" s="28" t="n">
        <v>0.012703716</v>
      </c>
      <c r="K451" s="15" t="n">
        <f aca="false">MIN(ABS(F451-$B$412), ABS(F451-180-$B$412), ABS(F451+180-$B$412))</f>
        <v>22.474545455</v>
      </c>
    </row>
    <row r="452" customFormat="false" ht="14.25" hidden="false" customHeight="false" outlineLevel="0" collapsed="false">
      <c r="F452" s="18" t="n">
        <v>73.636363636</v>
      </c>
      <c r="G452" s="18" t="n">
        <v>0.019916247</v>
      </c>
      <c r="H452" s="28" t="n">
        <v>0.012703716</v>
      </c>
      <c r="K452" s="15" t="n">
        <f aca="false">MIN(ABS(F452-$B$412), ABS(F452-180-$B$412), ABS(F452+180-$B$412))</f>
        <v>18.383636364</v>
      </c>
    </row>
    <row r="453" customFormat="false" ht="14.25" hidden="false" customHeight="false" outlineLevel="0" collapsed="false">
      <c r="F453" s="18" t="n">
        <v>77.727272727</v>
      </c>
      <c r="G453" s="18" t="n">
        <v>0.033452808</v>
      </c>
      <c r="H453" s="28" t="n">
        <v>0.012703716</v>
      </c>
      <c r="K453" s="15" t="n">
        <f aca="false">MIN(ABS(F453-$B$412), ABS(F453-180-$B$412), ABS(F453+180-$B$412))</f>
        <v>14.292727273</v>
      </c>
    </row>
    <row r="454" customFormat="false" ht="14.25" hidden="false" customHeight="false" outlineLevel="0" collapsed="false">
      <c r="F454" s="18" t="n">
        <v>81.818181818</v>
      </c>
      <c r="G454" s="18" t="n">
        <v>0.065035584</v>
      </c>
      <c r="H454" s="28" t="n">
        <v>0.012703716</v>
      </c>
      <c r="K454" s="15" t="n">
        <f aca="false">MIN(ABS(F454-$B$412), ABS(F454-180-$B$412), ABS(F454+180-$B$412))</f>
        <v>10.201818182</v>
      </c>
    </row>
    <row r="455" customFormat="false" ht="14.25" hidden="false" customHeight="false" outlineLevel="0" collapsed="false">
      <c r="F455" s="18" t="n">
        <v>85.909090909</v>
      </c>
      <c r="G455" s="18" t="n">
        <v>0.100310644</v>
      </c>
      <c r="H455" s="28" t="n">
        <v>0.012703716</v>
      </c>
      <c r="K455" s="15" t="n">
        <f aca="false">MIN(ABS(F455-$B$412), ABS(F455-180-$B$412), ABS(F455+180-$B$412))</f>
        <v>6.110909091</v>
      </c>
    </row>
    <row r="456" customFormat="false" ht="14.25" hidden="false" customHeight="false" outlineLevel="0" collapsed="false">
      <c r="F456" s="18" t="n">
        <v>90</v>
      </c>
      <c r="G456" s="18" t="n">
        <v>0.139152381</v>
      </c>
      <c r="H456" s="28" t="n">
        <v>0.012703716</v>
      </c>
      <c r="K456" s="15" t="n">
        <f aca="false">MIN(ABS(F456-$B$412), ABS(F456-180-$B$412), ABS(F456+180-$B$412))</f>
        <v>2.02</v>
      </c>
    </row>
    <row r="457" customFormat="false" ht="14.25" hidden="false" customHeight="false" outlineLevel="0" collapsed="false">
      <c r="F457" s="18"/>
      <c r="G457" s="18"/>
      <c r="H457" s="28"/>
    </row>
    <row r="458" customFormat="false" ht="14.25" hidden="false" customHeight="false" outlineLevel="0" collapsed="false">
      <c r="F458" s="18"/>
      <c r="G458" s="18"/>
      <c r="H458" s="28"/>
    </row>
  </sheetData>
  <conditionalFormatting sqref="K1:K458">
    <cfRule type="cellIs" priority="2" operator="notBetween" aboveAverage="0" equalAverage="0" bottom="0" percent="0" rank="0" text="" dxfId="1">
      <formula>0</formula>
      <formula>90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39" activeCellId="0" sqref="M39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31.44"/>
    <col collapsed="false" customWidth="true" hidden="false" outlineLevel="0" max="2" min="2" style="1" width="15.22"/>
    <col collapsed="false" customWidth="true" hidden="false" outlineLevel="0" max="3" min="3" style="1" width="10.56"/>
    <col collapsed="false" customWidth="true" hidden="false" outlineLevel="0" max="4" min="4" style="1" width="7.88"/>
    <col collapsed="false" customWidth="true" hidden="false" outlineLevel="0" max="5" min="5" style="1" width="9.44"/>
    <col collapsed="false" customWidth="true" hidden="false" outlineLevel="0" max="6" min="6" style="1" width="13.88"/>
    <col collapsed="false" customWidth="true" hidden="false" outlineLevel="0" max="7" min="7" style="1" width="17.76"/>
    <col collapsed="false" customWidth="true" hidden="false" outlineLevel="0" max="8" min="8" style="34" width="13.34"/>
    <col collapsed="false" customWidth="true" hidden="false" outlineLevel="0" max="9" min="9" style="1" width="19.11"/>
    <col collapsed="false" customWidth="true" hidden="false" outlineLevel="0" max="10" min="10" style="1" width="19.56"/>
    <col collapsed="false" customWidth="true" hidden="false" outlineLevel="0" max="11" min="11" style="1" width="17"/>
    <col collapsed="false" customWidth="true" hidden="false" outlineLevel="0" max="12" min="12" style="1" width="26.88"/>
    <col collapsed="false" customWidth="true" hidden="false" outlineLevel="0" max="13" min="13" style="1" width="25.77"/>
  </cols>
  <sheetData>
    <row r="1" customFormat="false" ht="17.35" hidden="false" customHeight="false" outlineLevel="0" collapsed="false">
      <c r="A1" s="5" t="s">
        <v>0</v>
      </c>
      <c r="B1" s="6" t="s">
        <v>1</v>
      </c>
      <c r="F1" s="18"/>
      <c r="G1" s="18"/>
      <c r="H1" s="28"/>
    </row>
    <row r="2" customFormat="false" ht="14.25" hidden="false" customHeight="false" outlineLevel="0" collapsed="false">
      <c r="F2" s="18"/>
      <c r="G2" s="18"/>
      <c r="H2" s="28"/>
    </row>
    <row r="3" customFormat="false" ht="14.25" hidden="false" customHeight="false" outlineLevel="0" collapsed="false">
      <c r="F3" s="18"/>
      <c r="G3" s="18"/>
      <c r="H3" s="28"/>
      <c r="I3" s="1" t="n">
        <f aca="false">MIN(2, 3, 0)</f>
        <v>0</v>
      </c>
      <c r="K3" s="1" t="s">
        <v>2</v>
      </c>
    </row>
    <row r="4" customFormat="false" ht="14.25" hidden="false" customHeight="false" outlineLevel="0" collapsed="false">
      <c r="A4" s="7" t="s">
        <v>3</v>
      </c>
      <c r="B4" s="1" t="s">
        <v>4</v>
      </c>
      <c r="F4" s="18"/>
      <c r="G4" s="18"/>
      <c r="H4" s="28"/>
      <c r="K4" s="1" t="s">
        <v>5</v>
      </c>
    </row>
    <row r="5" customFormat="false" ht="14.25" hidden="false" customHeight="false" outlineLevel="0" collapsed="false">
      <c r="F5" s="18"/>
      <c r="G5" s="18"/>
      <c r="H5" s="28"/>
      <c r="I5" s="1" t="s">
        <v>19</v>
      </c>
      <c r="J5" s="1" t="s">
        <v>19</v>
      </c>
      <c r="K5" s="1" t="s">
        <v>20</v>
      </c>
      <c r="L5" s="1" t="s">
        <v>20</v>
      </c>
      <c r="M5" s="1" t="s">
        <v>20</v>
      </c>
    </row>
    <row r="6" customFormat="false" ht="14.25" hidden="false" customHeight="false" outlineLevel="0" collapsed="false">
      <c r="A6" s="8" t="s">
        <v>6</v>
      </c>
      <c r="B6" s="8" t="s">
        <v>7</v>
      </c>
      <c r="C6" s="8" t="s">
        <v>16</v>
      </c>
      <c r="D6" s="8" t="s">
        <v>14</v>
      </c>
      <c r="E6" s="8" t="s">
        <v>17</v>
      </c>
      <c r="F6" s="29" t="s">
        <v>7</v>
      </c>
      <c r="G6" s="29" t="s">
        <v>21</v>
      </c>
      <c r="H6" s="29" t="s">
        <v>9</v>
      </c>
      <c r="I6" s="30" t="s">
        <v>22</v>
      </c>
      <c r="J6" s="31" t="s">
        <v>23</v>
      </c>
      <c r="K6" s="12" t="s">
        <v>10</v>
      </c>
      <c r="L6" s="1" t="s">
        <v>24</v>
      </c>
      <c r="M6" s="1" t="s">
        <v>25</v>
      </c>
    </row>
    <row r="7" customFormat="false" ht="14.25" hidden="false" customHeight="false" outlineLevel="0" collapsed="false">
      <c r="A7" s="14" t="n">
        <v>20241115</v>
      </c>
      <c r="B7" s="14" t="n">
        <v>-95.24</v>
      </c>
      <c r="C7" s="14" t="n">
        <v>6.95</v>
      </c>
      <c r="D7" s="14" t="s">
        <v>29</v>
      </c>
      <c r="E7" s="14" t="s">
        <v>30</v>
      </c>
      <c r="F7" s="1" t="n">
        <v>-90</v>
      </c>
      <c r="G7" s="1" t="n">
        <v>0.164290489</v>
      </c>
      <c r="H7" s="34" t="n">
        <v>0.16459786</v>
      </c>
      <c r="K7" s="15" t="n">
        <f aca="false">MIN(ABS(F7-$B$7), ABS(F7-180-$B$7), ABS(F7+180-$B$7))</f>
        <v>5.24</v>
      </c>
      <c r="L7" s="16" t="n">
        <f aca="false" t="array" ref="L7:L7">SQRT(SUMPRODUCT(G7:G51,K7:K51*K7:K51))</f>
        <v>21.7363718115673</v>
      </c>
      <c r="M7" s="3" t="n">
        <f aca="false" t="array" ref="M7:M7">SUMPRODUCT(G7:G51,ABS(K7:K51))</f>
        <v>13.6828857996826</v>
      </c>
    </row>
    <row r="8" customFormat="false" ht="14.25" hidden="false" customHeight="false" outlineLevel="0" collapsed="false">
      <c r="A8" s="1" t="s">
        <v>31</v>
      </c>
      <c r="F8" s="1" t="n">
        <v>-85.909090909</v>
      </c>
      <c r="G8" s="1" t="n">
        <v>0.098074159</v>
      </c>
      <c r="H8" s="34" t="n">
        <v>0.096316849</v>
      </c>
      <c r="K8" s="15" t="n">
        <f aca="false">MIN(ABS(F8-$B$7), ABS(F8-180-$B$7), ABS(F8+180-$B$7))</f>
        <v>9.330909091</v>
      </c>
    </row>
    <row r="9" customFormat="false" ht="14.25" hidden="false" customHeight="false" outlineLevel="0" collapsed="false">
      <c r="F9" s="1" t="n">
        <v>-81.818181818</v>
      </c>
      <c r="G9" s="1" t="n">
        <v>0.042004847</v>
      </c>
      <c r="H9" s="34" t="n">
        <v>0.046814412</v>
      </c>
      <c r="K9" s="15" t="n">
        <f aca="false">MIN(ABS(F9-$B$7), ABS(F9-180-$B$7), ABS(F9+180-$B$7))</f>
        <v>13.421818182</v>
      </c>
    </row>
    <row r="10" customFormat="false" ht="14.25" hidden="false" customHeight="false" outlineLevel="0" collapsed="false">
      <c r="F10" s="1" t="n">
        <v>-77.727272727</v>
      </c>
      <c r="G10" s="1" t="n">
        <v>0.030914837</v>
      </c>
      <c r="H10" s="34" t="n">
        <v>0.024499088</v>
      </c>
      <c r="K10" s="15" t="n">
        <f aca="false">MIN(ABS(F10-$B$7), ABS(F10-180-$B$7), ABS(F10+180-$B$7))</f>
        <v>17.512727273</v>
      </c>
    </row>
    <row r="11" customFormat="false" ht="14.25" hidden="false" customHeight="false" outlineLevel="0" collapsed="false">
      <c r="F11" s="1" t="n">
        <v>-73.636363636</v>
      </c>
      <c r="G11" s="1" t="n">
        <v>0.01791717</v>
      </c>
      <c r="H11" s="34" t="n">
        <v>0.017820083</v>
      </c>
      <c r="K11" s="15" t="n">
        <f aca="false">MIN(ABS(F11-$B$7), ABS(F11-180-$B$7), ABS(F11+180-$B$7))</f>
        <v>21.603636364</v>
      </c>
      <c r="L11" s="1" t="n">
        <f aca="false">C7/L7</f>
        <v>0.319740574013436</v>
      </c>
    </row>
    <row r="12" customFormat="false" ht="14.25" hidden="false" customHeight="false" outlineLevel="0" collapsed="false">
      <c r="F12" s="1" t="n">
        <v>-69.545454545</v>
      </c>
      <c r="G12" s="1" t="n">
        <v>0.011464669</v>
      </c>
      <c r="H12" s="34" t="n">
        <v>0.016456033</v>
      </c>
      <c r="K12" s="15" t="n">
        <f aca="false">MIN(ABS(F12-$B$7), ABS(F12-180-$B$7), ABS(F12+180-$B$7))</f>
        <v>25.694545455</v>
      </c>
    </row>
    <row r="13" customFormat="false" ht="14.25" hidden="false" customHeight="false" outlineLevel="0" collapsed="false">
      <c r="F13" s="1" t="n">
        <v>-65.454545455</v>
      </c>
      <c r="G13" s="1" t="n">
        <v>0.010135611</v>
      </c>
      <c r="H13" s="34" t="n">
        <v>0.016263289</v>
      </c>
      <c r="K13" s="15" t="n">
        <f aca="false">MIN(ABS(F13-$B$7), ABS(F13-180-$B$7), ABS(F13+180-$B$7))</f>
        <v>29.785454545</v>
      </c>
    </row>
    <row r="14" customFormat="false" ht="14.25" hidden="false" customHeight="false" outlineLevel="0" collapsed="false">
      <c r="F14" s="1" t="n">
        <v>-61.363636364</v>
      </c>
      <c r="G14" s="1" t="n">
        <v>0.00714736</v>
      </c>
      <c r="H14" s="34" t="n">
        <v>0.016244297</v>
      </c>
      <c r="K14" s="15" t="n">
        <f aca="false">MIN(ABS(F14-$B$7), ABS(F14-180-$B$7), ABS(F14+180-$B$7))</f>
        <v>33.876363636</v>
      </c>
    </row>
    <row r="15" customFormat="false" ht="14.25" hidden="false" customHeight="false" outlineLevel="0" collapsed="false">
      <c r="F15" s="1" t="n">
        <v>-57.272727273</v>
      </c>
      <c r="G15" s="1" t="n">
        <v>0.005468243</v>
      </c>
      <c r="H15" s="34" t="n">
        <v>0.016242985</v>
      </c>
      <c r="K15" s="15" t="n">
        <f aca="false">MIN(ABS(F15-$B$7), ABS(F15-180-$B$7), ABS(F15+180-$B$7))</f>
        <v>37.967272727</v>
      </c>
    </row>
    <row r="16" customFormat="false" ht="14.25" hidden="false" customHeight="false" outlineLevel="0" collapsed="false">
      <c r="F16" s="1" t="n">
        <v>-53.181818182</v>
      </c>
      <c r="G16" s="1" t="n">
        <v>0.004607497</v>
      </c>
      <c r="H16" s="34" t="n">
        <v>0.016242922</v>
      </c>
      <c r="K16" s="15" t="n">
        <f aca="false">MIN(ABS(F16-$B$7), ABS(F16-180-$B$7), ABS(F16+180-$B$7))</f>
        <v>42.058181818</v>
      </c>
    </row>
    <row r="17" customFormat="false" ht="14.25" hidden="false" customHeight="false" outlineLevel="0" collapsed="false">
      <c r="F17" s="1" t="n">
        <v>-49.090909091</v>
      </c>
      <c r="G17" s="1" t="n">
        <v>0.004629299</v>
      </c>
      <c r="H17" s="34" t="n">
        <v>0.01624292</v>
      </c>
      <c r="K17" s="15" t="n">
        <f aca="false">MIN(ABS(F17-$B$7), ABS(F17-180-$B$7), ABS(F17+180-$B$7))</f>
        <v>46.149090909</v>
      </c>
    </row>
    <row r="18" customFormat="false" ht="14.25" hidden="false" customHeight="false" outlineLevel="0" collapsed="false">
      <c r="F18" s="1" t="n">
        <v>-45</v>
      </c>
      <c r="G18" s="1" t="n">
        <v>0.003853006</v>
      </c>
      <c r="H18" s="34" t="n">
        <v>0.016242919</v>
      </c>
      <c r="K18" s="15" t="n">
        <f aca="false">MIN(ABS(F18-$B$7), ABS(F18-180-$B$7), ABS(F18+180-$B$7))</f>
        <v>50.24</v>
      </c>
    </row>
    <row r="19" customFormat="false" ht="14.25" hidden="false" customHeight="false" outlineLevel="0" collapsed="false">
      <c r="F19" s="1" t="n">
        <v>-40.909090909</v>
      </c>
      <c r="G19" s="1" t="n">
        <v>0.003326232</v>
      </c>
      <c r="H19" s="34" t="n">
        <v>0.016242919</v>
      </c>
      <c r="K19" s="15" t="n">
        <f aca="false">MIN(ABS(F19-$B$7), ABS(F19-180-$B$7), ABS(F19+180-$B$7))</f>
        <v>54.330909091</v>
      </c>
    </row>
    <row r="20" customFormat="false" ht="14.25" hidden="false" customHeight="false" outlineLevel="0" collapsed="false">
      <c r="F20" s="1" t="n">
        <v>-36.818181818</v>
      </c>
      <c r="G20" s="1" t="n">
        <v>0.003124467</v>
      </c>
      <c r="H20" s="34" t="n">
        <v>0.016242919</v>
      </c>
      <c r="K20" s="15" t="n">
        <f aca="false">MIN(ABS(F20-$B$7), ABS(F20-180-$B$7), ABS(F20+180-$B$7))</f>
        <v>58.421818182</v>
      </c>
    </row>
    <row r="21" customFormat="false" ht="14.25" hidden="false" customHeight="false" outlineLevel="0" collapsed="false">
      <c r="F21" s="1" t="n">
        <v>-32.727272727</v>
      </c>
      <c r="G21" s="1" t="n">
        <v>0.002972778</v>
      </c>
      <c r="H21" s="34" t="n">
        <v>0.016242919</v>
      </c>
      <c r="K21" s="15" t="n">
        <f aca="false">MIN(ABS(F21-$B$7), ABS(F21-180-$B$7), ABS(F21+180-$B$7))</f>
        <v>62.512727273</v>
      </c>
      <c r="L21" s="15"/>
    </row>
    <row r="22" customFormat="false" ht="14.25" hidden="false" customHeight="false" outlineLevel="0" collapsed="false">
      <c r="F22" s="1" t="n">
        <v>-28.636363636</v>
      </c>
      <c r="G22" s="1" t="n">
        <v>0.002780856</v>
      </c>
      <c r="H22" s="34" t="n">
        <v>0.016242919</v>
      </c>
      <c r="K22" s="15" t="n">
        <f aca="false">MIN(ABS(F22-$B$7), ABS(F22-180-$B$7), ABS(F22+180-$B$7))</f>
        <v>66.603636364</v>
      </c>
    </row>
    <row r="23" customFormat="false" ht="14.25" hidden="false" customHeight="false" outlineLevel="0" collapsed="false">
      <c r="F23" s="1" t="n">
        <v>-24.545454545</v>
      </c>
      <c r="G23" s="1" t="n">
        <v>0.00284121</v>
      </c>
      <c r="H23" s="34" t="n">
        <v>0.016242919</v>
      </c>
      <c r="K23" s="15" t="n">
        <f aca="false">MIN(ABS(F23-$B$7), ABS(F23-180-$B$7), ABS(F23+180-$B$7))</f>
        <v>70.694545455</v>
      </c>
    </row>
    <row r="24" customFormat="false" ht="14.25" hidden="false" customHeight="false" outlineLevel="0" collapsed="false">
      <c r="F24" s="1" t="n">
        <v>-20.454545455</v>
      </c>
      <c r="G24" s="1" t="n">
        <v>0.00277574</v>
      </c>
      <c r="H24" s="34" t="n">
        <v>0.016242919</v>
      </c>
      <c r="K24" s="15" t="n">
        <f aca="false">MIN(ABS(F24-$B$7), ABS(F24-180-$B$7), ABS(F24+180-$B$7))</f>
        <v>74.785454545</v>
      </c>
    </row>
    <row r="25" customFormat="false" ht="14.25" hidden="false" customHeight="false" outlineLevel="0" collapsed="false">
      <c r="F25" s="1" t="n">
        <v>-16.363636364</v>
      </c>
      <c r="G25" s="1" t="n">
        <v>0.002839899</v>
      </c>
      <c r="H25" s="34" t="n">
        <v>0.016242919</v>
      </c>
      <c r="K25" s="15" t="n">
        <f aca="false">MIN(ABS(F25-$B$7), ABS(F25-180-$B$7), ABS(F25+180-$B$7))</f>
        <v>78.876363636</v>
      </c>
    </row>
    <row r="26" customFormat="false" ht="14.25" hidden="false" customHeight="false" outlineLevel="0" collapsed="false">
      <c r="F26" s="1" t="n">
        <v>-12.272727273</v>
      </c>
      <c r="G26" s="1" t="n">
        <v>0.002653917</v>
      </c>
      <c r="H26" s="34" t="n">
        <v>0.016242919</v>
      </c>
      <c r="K26" s="15" t="n">
        <f aca="false">MIN(ABS(F26-$B$7), ABS(F26-180-$B$7), ABS(F26+180-$B$7))</f>
        <v>82.967272727</v>
      </c>
    </row>
    <row r="27" customFormat="false" ht="14.25" hidden="false" customHeight="false" outlineLevel="0" collapsed="false">
      <c r="F27" s="1" t="n">
        <v>-8.181818182</v>
      </c>
      <c r="G27" s="1" t="n">
        <v>0.002778086</v>
      </c>
      <c r="H27" s="34" t="n">
        <v>0.016242919</v>
      </c>
      <c r="K27" s="15" t="n">
        <f aca="false">MIN(ABS(F27-$B$7), ABS(F27-180-$B$7), ABS(F27+180-$B$7))</f>
        <v>87.058181818</v>
      </c>
    </row>
    <row r="28" customFormat="false" ht="14.25" hidden="false" customHeight="false" outlineLevel="0" collapsed="false">
      <c r="F28" s="1" t="n">
        <v>-4.090909091</v>
      </c>
      <c r="G28" s="1" t="n">
        <v>0.002654399</v>
      </c>
      <c r="H28" s="34" t="n">
        <v>0.016242919</v>
      </c>
      <c r="K28" s="15" t="n">
        <f aca="false">MIN(ABS(F28-$B$7), ABS(F28-180-$B$7), ABS(F28+180-$B$7))</f>
        <v>88.850909091</v>
      </c>
    </row>
    <row r="29" customFormat="false" ht="14.25" hidden="false" customHeight="false" outlineLevel="0" collapsed="false">
      <c r="F29" s="1" t="n">
        <v>0</v>
      </c>
      <c r="G29" s="1" t="n">
        <v>0.00275467</v>
      </c>
      <c r="H29" s="34" t="n">
        <v>0.016242919</v>
      </c>
      <c r="K29" s="15" t="n">
        <f aca="false">MIN(ABS(F29-$B$7), ABS(F29-180-$B$7), ABS(F29+180-$B$7))</f>
        <v>84.76</v>
      </c>
    </row>
    <row r="30" customFormat="false" ht="14.25" hidden="false" customHeight="false" outlineLevel="0" collapsed="false">
      <c r="F30" s="1" t="n">
        <v>4.090909091</v>
      </c>
      <c r="G30" s="1" t="n">
        <v>0.002695114</v>
      </c>
      <c r="H30" s="34" t="n">
        <v>0.016242919</v>
      </c>
      <c r="K30" s="15" t="n">
        <f aca="false">MIN(ABS(F30-$B$7), ABS(F30-180-$B$7), ABS(F30+180-$B$7))</f>
        <v>80.669090909</v>
      </c>
    </row>
    <row r="31" customFormat="false" ht="14.25" hidden="false" customHeight="false" outlineLevel="0" collapsed="false">
      <c r="F31" s="1" t="n">
        <v>8.181818182</v>
      </c>
      <c r="G31" s="1" t="n">
        <v>0.002966364</v>
      </c>
      <c r="H31" s="34" t="n">
        <v>0.016242919</v>
      </c>
      <c r="K31" s="15" t="n">
        <f aca="false">MIN(ABS(F31-$B$7), ABS(F31-180-$B$7), ABS(F31+180-$B$7))</f>
        <v>76.578181818</v>
      </c>
    </row>
    <row r="32" customFormat="false" ht="14.25" hidden="false" customHeight="false" outlineLevel="0" collapsed="false">
      <c r="F32" s="1" t="n">
        <v>12.272727273</v>
      </c>
      <c r="G32" s="1" t="n">
        <v>0.002938801</v>
      </c>
      <c r="H32" s="34" t="n">
        <v>0.016242919</v>
      </c>
      <c r="K32" s="15" t="n">
        <f aca="false">MIN(ABS(F32-$B$7), ABS(F32-180-$B$7), ABS(F32+180-$B$7))</f>
        <v>72.487272727</v>
      </c>
    </row>
    <row r="33" customFormat="false" ht="14.25" hidden="false" customHeight="false" outlineLevel="0" collapsed="false">
      <c r="F33" s="1" t="n">
        <v>16.363636364</v>
      </c>
      <c r="G33" s="1" t="n">
        <v>0.002870611</v>
      </c>
      <c r="H33" s="34" t="n">
        <v>0.016242919</v>
      </c>
      <c r="K33" s="15" t="n">
        <f aca="false">MIN(ABS(F33-$B$7), ABS(F33-180-$B$7), ABS(F33+180-$B$7))</f>
        <v>68.396363636</v>
      </c>
    </row>
    <row r="34" customFormat="false" ht="14.25" hidden="false" customHeight="false" outlineLevel="0" collapsed="false">
      <c r="F34" s="1" t="n">
        <v>20.454545455</v>
      </c>
      <c r="G34" s="1" t="n">
        <v>0.003049656</v>
      </c>
      <c r="H34" s="34" t="n">
        <v>0.016242919</v>
      </c>
      <c r="K34" s="15" t="n">
        <f aca="false">MIN(ABS(F34-$B$7), ABS(F34-180-$B$7), ABS(F34+180-$B$7))</f>
        <v>64.305454545</v>
      </c>
    </row>
    <row r="35" customFormat="false" ht="14.25" hidden="false" customHeight="false" outlineLevel="0" collapsed="false">
      <c r="F35" s="1" t="n">
        <v>24.545454545</v>
      </c>
      <c r="G35" s="1" t="n">
        <v>0.003391779</v>
      </c>
      <c r="H35" s="34" t="n">
        <v>0.016242919</v>
      </c>
      <c r="K35" s="15" t="n">
        <f aca="false">MIN(ABS(F35-$B$7), ABS(F35-180-$B$7), ABS(F35+180-$B$7))</f>
        <v>60.214545455</v>
      </c>
    </row>
    <row r="36" customFormat="false" ht="14.25" hidden="false" customHeight="false" outlineLevel="0" collapsed="false">
      <c r="F36" s="1" t="n">
        <v>28.636363636</v>
      </c>
      <c r="G36" s="1" t="n">
        <v>0.003423009</v>
      </c>
      <c r="H36" s="34" t="n">
        <v>0.016242919</v>
      </c>
      <c r="K36" s="15" t="n">
        <f aca="false">MIN(ABS(F36-$B$7), ABS(F36-180-$B$7), ABS(F36+180-$B$7))</f>
        <v>56.123636364</v>
      </c>
    </row>
    <row r="37" customFormat="false" ht="14.25" hidden="false" customHeight="false" outlineLevel="0" collapsed="false">
      <c r="F37" s="1" t="n">
        <v>32.727272727</v>
      </c>
      <c r="G37" s="1" t="n">
        <v>0.003851261</v>
      </c>
      <c r="H37" s="34" t="n">
        <v>0.016242919</v>
      </c>
      <c r="K37" s="15" t="n">
        <f aca="false">MIN(ABS(F37-$B$7), ABS(F37-180-$B$7), ABS(F37+180-$B$7))</f>
        <v>52.032727273</v>
      </c>
    </row>
    <row r="38" customFormat="false" ht="14.25" hidden="false" customHeight="false" outlineLevel="0" collapsed="false">
      <c r="F38" s="1" t="n">
        <v>36.818181818</v>
      </c>
      <c r="G38" s="1" t="n">
        <v>0.004395907</v>
      </c>
      <c r="H38" s="34" t="n">
        <v>0.016242919</v>
      </c>
      <c r="K38" s="15" t="n">
        <f aca="false">MIN(ABS(F38-$B$7), ABS(F38-180-$B$7), ABS(F38+180-$B$7))</f>
        <v>47.941818182</v>
      </c>
    </row>
    <row r="39" customFormat="false" ht="14.25" hidden="false" customHeight="false" outlineLevel="0" collapsed="false">
      <c r="F39" s="1" t="n">
        <v>40.909090909</v>
      </c>
      <c r="G39" s="1" t="n">
        <v>0.004755881</v>
      </c>
      <c r="H39" s="34" t="n">
        <v>0.016242919</v>
      </c>
      <c r="K39" s="15" t="n">
        <f aca="false">MIN(ABS(F39-$B$7), ABS(F39-180-$B$7), ABS(F39+180-$B$7))</f>
        <v>43.850909091</v>
      </c>
    </row>
    <row r="40" customFormat="false" ht="14.25" hidden="false" customHeight="false" outlineLevel="0" collapsed="false">
      <c r="F40" s="1" t="n">
        <v>45</v>
      </c>
      <c r="G40" s="1" t="n">
        <v>0.005909339</v>
      </c>
      <c r="H40" s="34" t="n">
        <v>0.016242919</v>
      </c>
      <c r="K40" s="15" t="n">
        <f aca="false">MIN(ABS(F40-$B$7), ABS(F40-180-$B$7), ABS(F40+180-$B$7))</f>
        <v>39.76</v>
      </c>
    </row>
    <row r="41" customFormat="false" ht="14.25" hidden="false" customHeight="false" outlineLevel="0" collapsed="false">
      <c r="F41" s="1" t="n">
        <v>49.090909091</v>
      </c>
      <c r="G41" s="1" t="n">
        <v>0.006850337</v>
      </c>
      <c r="H41" s="34" t="n">
        <v>0.016242919</v>
      </c>
      <c r="K41" s="15" t="n">
        <f aca="false">MIN(ABS(F41-$B$7), ABS(F41-180-$B$7), ABS(F41+180-$B$7))</f>
        <v>35.669090909</v>
      </c>
    </row>
    <row r="42" customFormat="false" ht="14.25" hidden="false" customHeight="false" outlineLevel="0" collapsed="false">
      <c r="F42" s="1" t="n">
        <v>53.181818182</v>
      </c>
      <c r="G42" s="1" t="n">
        <v>0.008108838</v>
      </c>
      <c r="H42" s="34" t="n">
        <v>0.016242919</v>
      </c>
      <c r="K42" s="15" t="n">
        <f aca="false">MIN(ABS(F42-$B$7), ABS(F42-180-$B$7), ABS(F42+180-$B$7))</f>
        <v>31.578181818</v>
      </c>
    </row>
    <row r="43" customFormat="false" ht="14.25" hidden="false" customHeight="false" outlineLevel="0" collapsed="false">
      <c r="F43" s="1" t="n">
        <v>57.272727273</v>
      </c>
      <c r="G43" s="1" t="n">
        <v>0.011021512</v>
      </c>
      <c r="H43" s="34" t="n">
        <v>0.016242919</v>
      </c>
      <c r="K43" s="15" t="n">
        <f aca="false">MIN(ABS(F43-$B$7), ABS(F43-180-$B$7), ABS(F43+180-$B$7))</f>
        <v>27.487272727</v>
      </c>
    </row>
    <row r="44" customFormat="false" ht="14.25" hidden="false" customHeight="false" outlineLevel="0" collapsed="false">
      <c r="F44" s="1" t="n">
        <v>61.363636364</v>
      </c>
      <c r="G44" s="1" t="n">
        <v>0.015383804</v>
      </c>
      <c r="H44" s="34" t="n">
        <v>0.016242919</v>
      </c>
      <c r="K44" s="15" t="n">
        <f aca="false">MIN(ABS(F44-$B$7), ABS(F44-180-$B$7), ABS(F44+180-$B$7))</f>
        <v>23.396363636</v>
      </c>
    </row>
    <row r="45" customFormat="false" ht="14.25" hidden="false" customHeight="false" outlineLevel="0" collapsed="false">
      <c r="F45" s="1" t="n">
        <v>65.454545455</v>
      </c>
      <c r="G45" s="1" t="n">
        <v>0.022473974</v>
      </c>
      <c r="H45" s="34" t="n">
        <v>0.016242919</v>
      </c>
      <c r="K45" s="15" t="n">
        <f aca="false">MIN(ABS(F45-$B$7), ABS(F45-180-$B$7), ABS(F45+180-$B$7))</f>
        <v>19.305454545</v>
      </c>
    </row>
    <row r="46" customFormat="false" ht="14.25" hidden="false" customHeight="false" outlineLevel="0" collapsed="false">
      <c r="F46" s="1" t="n">
        <v>69.545454545</v>
      </c>
      <c r="G46" s="1" t="n">
        <v>0.033215959</v>
      </c>
      <c r="H46" s="34" t="n">
        <v>0.016242919</v>
      </c>
      <c r="K46" s="15" t="n">
        <f aca="false">MIN(ABS(F46-$B$7), ABS(F46-180-$B$7), ABS(F46+180-$B$7))</f>
        <v>15.214545455</v>
      </c>
    </row>
    <row r="47" customFormat="false" ht="14.25" hidden="false" customHeight="false" outlineLevel="0" collapsed="false">
      <c r="F47" s="1" t="n">
        <v>73.636363636</v>
      </c>
      <c r="G47" s="1" t="n">
        <v>0.045715506</v>
      </c>
      <c r="H47" s="34" t="n">
        <v>0.016242919</v>
      </c>
      <c r="K47" s="15" t="n">
        <f aca="false">MIN(ABS(F47-$B$7), ABS(F47-180-$B$7), ABS(F47+180-$B$7))</f>
        <v>11.123636364</v>
      </c>
    </row>
    <row r="48" customFormat="false" ht="14.25" hidden="false" customHeight="false" outlineLevel="0" collapsed="false">
      <c r="F48" s="1" t="n">
        <v>77.727272727</v>
      </c>
      <c r="G48" s="1" t="n">
        <v>0.055405532</v>
      </c>
      <c r="H48" s="34" t="n">
        <v>0.016242919</v>
      </c>
      <c r="K48" s="15" t="n">
        <f aca="false">MIN(ABS(F48-$B$7), ABS(F48-180-$B$7), ABS(F48+180-$B$7))</f>
        <v>7.03272727300001</v>
      </c>
    </row>
    <row r="49" s="19" customFormat="true" ht="14.25" hidden="false" customHeight="false" outlineLevel="0" collapsed="false">
      <c r="A49" s="1"/>
      <c r="B49" s="1"/>
      <c r="C49" s="1"/>
      <c r="D49" s="1"/>
      <c r="E49" s="1"/>
      <c r="F49" s="1" t="n">
        <v>81.818181818</v>
      </c>
      <c r="G49" s="1" t="n">
        <v>0.065127601</v>
      </c>
      <c r="H49" s="34" t="n">
        <v>0.016242919</v>
      </c>
      <c r="I49" s="1"/>
      <c r="J49" s="1"/>
      <c r="K49" s="15" t="n">
        <f aca="false">MIN(ABS(F49-$B$7), ABS(F49-180-$B$7), ABS(F49+180-$B$7))</f>
        <v>2.94181818200001</v>
      </c>
      <c r="L49" s="1"/>
      <c r="M49" s="1"/>
    </row>
    <row r="50" customFormat="false" ht="14.25" hidden="false" customHeight="false" outlineLevel="0" collapsed="false">
      <c r="F50" s="1" t="n">
        <v>85.909090909</v>
      </c>
      <c r="G50" s="1" t="n">
        <v>0.100149285</v>
      </c>
      <c r="H50" s="34" t="n">
        <v>0.016242919</v>
      </c>
      <c r="K50" s="15" t="n">
        <f aca="false">MIN(ABS(F50-$B$7), ABS(F50-180-$B$7), ABS(F50+180-$B$7))</f>
        <v>1.14909090899999</v>
      </c>
    </row>
    <row r="51" customFormat="false" ht="14.25" hidden="false" customHeight="false" outlineLevel="0" collapsed="false">
      <c r="A51" s="19"/>
      <c r="B51" s="19"/>
      <c r="C51" s="19"/>
      <c r="D51" s="19"/>
      <c r="E51" s="19"/>
      <c r="F51" s="19" t="n">
        <v>90</v>
      </c>
      <c r="G51" s="19" t="n">
        <v>0.164290489</v>
      </c>
      <c r="H51" s="35" t="n">
        <v>0.016242919</v>
      </c>
      <c r="I51" s="19"/>
      <c r="J51" s="19"/>
      <c r="K51" s="15" t="n">
        <f aca="false">MIN(ABS(F51-$B$7), ABS(F51-180-$B$7), ABS(F51+180-$B$7))</f>
        <v>5.24</v>
      </c>
      <c r="L51" s="19"/>
      <c r="M51" s="19"/>
    </row>
    <row r="52" customFormat="false" ht="14.25" hidden="false" customHeight="false" outlineLevel="0" collapsed="false">
      <c r="A52" s="14" t="n">
        <v>20241115</v>
      </c>
      <c r="B52" s="14" t="n">
        <v>81.63</v>
      </c>
      <c r="C52" s="14" t="n">
        <v>11.08</v>
      </c>
      <c r="D52" s="14" t="n">
        <v>0.58</v>
      </c>
      <c r="E52" s="14" t="n">
        <v>0.74</v>
      </c>
      <c r="F52" s="1" t="n">
        <v>-90</v>
      </c>
      <c r="G52" s="1" t="n">
        <v>0.080717791</v>
      </c>
      <c r="H52" s="34" t="n">
        <v>0.010924918</v>
      </c>
      <c r="K52" s="15" t="n">
        <f aca="false">MIN(ABS(F52-$B$52), ABS(F52-180-$B$52), ABS(F52+180-$B$52))</f>
        <v>8.37000000000001</v>
      </c>
      <c r="L52" s="16" t="n">
        <f aca="false" t="array" ref="L52:L52">SQRT(SUMPRODUCT(G52:G96,K52:K96*K52:K96))</f>
        <v>24.3410633340288</v>
      </c>
      <c r="M52" s="3" t="n">
        <f aca="false" t="array" ref="M52:M52">SUMPRODUCT(G52:G96,ABS(K52:K96))</f>
        <v>16.2658465404242</v>
      </c>
    </row>
    <row r="53" customFormat="false" ht="14.25" hidden="false" customHeight="false" outlineLevel="0" collapsed="false">
      <c r="F53" s="1" t="n">
        <v>-85.909090909</v>
      </c>
      <c r="G53" s="1" t="n">
        <v>0.052811466</v>
      </c>
      <c r="H53" s="34" t="n">
        <v>0.010924918</v>
      </c>
      <c r="K53" s="15" t="n">
        <f aca="false">MIN(ABS(F53-$B$52), ABS(F53-180-$B$52), ABS(F53+180-$B$52))</f>
        <v>12.460909091</v>
      </c>
    </row>
    <row r="54" customFormat="false" ht="14.25" hidden="false" customHeight="false" outlineLevel="0" collapsed="false">
      <c r="F54" s="1" t="n">
        <v>-81.818181818</v>
      </c>
      <c r="G54" s="1" t="n">
        <v>0.04478028</v>
      </c>
      <c r="H54" s="34" t="n">
        <v>0.010924918</v>
      </c>
      <c r="K54" s="15" t="n">
        <f aca="false">MIN(ABS(F54-$B$52), ABS(F54-180-$B$52), ABS(F54+180-$B$52))</f>
        <v>16.551818182</v>
      </c>
    </row>
    <row r="55" customFormat="false" ht="14.25" hidden="false" customHeight="false" outlineLevel="0" collapsed="false">
      <c r="F55" s="1" t="n">
        <v>-77.727272727</v>
      </c>
      <c r="G55" s="1" t="n">
        <v>0.029166488</v>
      </c>
      <c r="H55" s="34" t="n">
        <v>0.010924918</v>
      </c>
      <c r="K55" s="15" t="n">
        <f aca="false">MIN(ABS(F55-$B$52), ABS(F55-180-$B$52), ABS(F55+180-$B$52))</f>
        <v>20.642727273</v>
      </c>
    </row>
    <row r="56" customFormat="false" ht="14.25" hidden="false" customHeight="false" outlineLevel="0" collapsed="false">
      <c r="F56" s="1" t="n">
        <v>-73.636363636</v>
      </c>
      <c r="G56" s="1" t="n">
        <v>0.019226027</v>
      </c>
      <c r="H56" s="34" t="n">
        <v>0.010924918</v>
      </c>
      <c r="K56" s="15" t="n">
        <f aca="false">MIN(ABS(F56-$B$52), ABS(F56-180-$B$52), ABS(F56+180-$B$52))</f>
        <v>24.733636364</v>
      </c>
    </row>
    <row r="57" customFormat="false" ht="14.25" hidden="false" customHeight="false" outlineLevel="0" collapsed="false">
      <c r="F57" s="1" t="n">
        <v>-69.545454545</v>
      </c>
      <c r="G57" s="1" t="n">
        <v>0.013659735</v>
      </c>
      <c r="H57" s="34" t="n">
        <v>0.010924918</v>
      </c>
      <c r="K57" s="15" t="n">
        <f aca="false">MIN(ABS(F57-$B$52), ABS(F57-180-$B$52), ABS(F57+180-$B$52))</f>
        <v>28.824545455</v>
      </c>
      <c r="L57" s="1" t="n">
        <f aca="false">C52/L52</f>
        <v>0.45519786247424</v>
      </c>
    </row>
    <row r="58" customFormat="false" ht="14.25" hidden="false" customHeight="false" outlineLevel="0" collapsed="false">
      <c r="F58" s="1" t="n">
        <v>-65.454545455</v>
      </c>
      <c r="G58" s="1" t="n">
        <v>0.010456803</v>
      </c>
      <c r="H58" s="34" t="n">
        <v>0.010924918</v>
      </c>
      <c r="K58" s="15" t="n">
        <f aca="false">MIN(ABS(F58-$B$52), ABS(F58-180-$B$52), ABS(F58+180-$B$52))</f>
        <v>32.915454545</v>
      </c>
    </row>
    <row r="59" customFormat="false" ht="14.25" hidden="false" customHeight="false" outlineLevel="0" collapsed="false">
      <c r="F59" s="1" t="n">
        <v>-61.363636364</v>
      </c>
      <c r="G59" s="1" t="n">
        <v>0.008137766</v>
      </c>
      <c r="H59" s="34" t="n">
        <v>0.010924918</v>
      </c>
      <c r="K59" s="15" t="n">
        <f aca="false">MIN(ABS(F59-$B$52), ABS(F59-180-$B$52), ABS(F59+180-$B$52))</f>
        <v>37.006363636</v>
      </c>
    </row>
    <row r="60" customFormat="false" ht="14.25" hidden="false" customHeight="false" outlineLevel="0" collapsed="false">
      <c r="F60" s="1" t="n">
        <v>-57.272727273</v>
      </c>
      <c r="G60" s="1" t="n">
        <v>0.006670748</v>
      </c>
      <c r="H60" s="34" t="n">
        <v>0.010924918</v>
      </c>
      <c r="K60" s="15" t="n">
        <f aca="false">MIN(ABS(F60-$B$52), ABS(F60-180-$B$52), ABS(F60+180-$B$52))</f>
        <v>41.097272727</v>
      </c>
    </row>
    <row r="61" customFormat="false" ht="14.25" hidden="false" customHeight="false" outlineLevel="0" collapsed="false">
      <c r="F61" s="1" t="n">
        <v>-53.181818182</v>
      </c>
      <c r="G61" s="1" t="n">
        <v>0.005841088</v>
      </c>
      <c r="H61" s="34" t="n">
        <v>0.010924918</v>
      </c>
      <c r="K61" s="15" t="n">
        <f aca="false">MIN(ABS(F61-$B$52), ABS(F61-180-$B$52), ABS(F61+180-$B$52))</f>
        <v>45.188181818</v>
      </c>
    </row>
    <row r="62" customFormat="false" ht="14.25" hidden="false" customHeight="false" outlineLevel="0" collapsed="false">
      <c r="F62" s="1" t="n">
        <v>-49.090909091</v>
      </c>
      <c r="G62" s="1" t="n">
        <v>0.005260029</v>
      </c>
      <c r="H62" s="34" t="n">
        <v>0.010924918</v>
      </c>
      <c r="K62" s="15" t="n">
        <f aca="false">MIN(ABS(F62-$B$52), ABS(F62-180-$B$52), ABS(F62+180-$B$52))</f>
        <v>49.279090909</v>
      </c>
    </row>
    <row r="63" customFormat="false" ht="14.25" hidden="false" customHeight="false" outlineLevel="0" collapsed="false">
      <c r="F63" s="1" t="n">
        <v>-45</v>
      </c>
      <c r="G63" s="1" t="n">
        <v>0.004664793</v>
      </c>
      <c r="H63" s="34" t="n">
        <v>0.010924918</v>
      </c>
      <c r="K63" s="15" t="n">
        <f aca="false">MIN(ABS(F63-$B$52), ABS(F63-180-$B$52), ABS(F63+180-$B$52))</f>
        <v>53.37</v>
      </c>
    </row>
    <row r="64" customFormat="false" ht="14.25" hidden="false" customHeight="false" outlineLevel="0" collapsed="false">
      <c r="F64" s="1" t="n">
        <v>-40.909090909</v>
      </c>
      <c r="G64" s="1" t="n">
        <v>0.00391488</v>
      </c>
      <c r="H64" s="34" t="n">
        <v>0.010924918</v>
      </c>
      <c r="K64" s="15" t="n">
        <f aca="false">MIN(ABS(F64-$B$52), ABS(F64-180-$B$52), ABS(F64+180-$B$52))</f>
        <v>57.460909091</v>
      </c>
    </row>
    <row r="65" customFormat="false" ht="14.25" hidden="false" customHeight="false" outlineLevel="0" collapsed="false">
      <c r="F65" s="1" t="n">
        <v>-36.818181818</v>
      </c>
      <c r="G65" s="1" t="n">
        <v>0.003633561</v>
      </c>
      <c r="H65" s="34" t="n">
        <v>0.010924918</v>
      </c>
      <c r="K65" s="15" t="n">
        <f aca="false">MIN(ABS(F65-$B$52), ABS(F65-180-$B$52), ABS(F65+180-$B$52))</f>
        <v>61.551818182</v>
      </c>
    </row>
    <row r="66" customFormat="false" ht="14.25" hidden="false" customHeight="false" outlineLevel="0" collapsed="false">
      <c r="F66" s="1" t="n">
        <v>-32.727272727</v>
      </c>
      <c r="G66" s="1" t="n">
        <v>0.003658741</v>
      </c>
      <c r="H66" s="34" t="n">
        <v>0.010924918</v>
      </c>
      <c r="K66" s="15" t="n">
        <f aca="false">MIN(ABS(F66-$B$52), ABS(F66-180-$B$52), ABS(F66+180-$B$52))</f>
        <v>65.642727273</v>
      </c>
    </row>
    <row r="67" customFormat="false" ht="14.25" hidden="false" customHeight="false" outlineLevel="0" collapsed="false">
      <c r="F67" s="1" t="n">
        <v>-28.636363636</v>
      </c>
      <c r="G67" s="1" t="n">
        <v>0.003506251</v>
      </c>
      <c r="H67" s="34" t="n">
        <v>0.010924918</v>
      </c>
      <c r="K67" s="15" t="n">
        <f aca="false">MIN(ABS(F67-$B$52), ABS(F67-180-$B$52), ABS(F67+180-$B$52))</f>
        <v>69.733636364</v>
      </c>
    </row>
    <row r="68" customFormat="false" ht="14.25" hidden="false" customHeight="false" outlineLevel="0" collapsed="false">
      <c r="F68" s="1" t="n">
        <v>-24.545454545</v>
      </c>
      <c r="G68" s="1" t="n">
        <v>0.003322445</v>
      </c>
      <c r="H68" s="34" t="n">
        <v>0.010924918</v>
      </c>
      <c r="K68" s="15" t="n">
        <f aca="false">MIN(ABS(F68-$B$52), ABS(F68-180-$B$52), ABS(F68+180-$B$52))</f>
        <v>73.824545455</v>
      </c>
    </row>
    <row r="69" customFormat="false" ht="14.25" hidden="false" customHeight="false" outlineLevel="0" collapsed="false">
      <c r="F69" s="1" t="n">
        <v>-20.454545455</v>
      </c>
      <c r="G69" s="1" t="n">
        <v>0.003246346</v>
      </c>
      <c r="H69" s="34" t="n">
        <v>0.010924918</v>
      </c>
      <c r="K69" s="15" t="n">
        <f aca="false">MIN(ABS(F69-$B$52), ABS(F69-180-$B$52), ABS(F69+180-$B$52))</f>
        <v>77.915454545</v>
      </c>
    </row>
    <row r="70" customFormat="false" ht="14.25" hidden="false" customHeight="false" outlineLevel="0" collapsed="false">
      <c r="F70" s="1" t="n">
        <v>-16.363636364</v>
      </c>
      <c r="G70" s="1" t="n">
        <v>0.003351472</v>
      </c>
      <c r="H70" s="34" t="n">
        <v>0.010924918</v>
      </c>
      <c r="K70" s="15" t="n">
        <f aca="false">MIN(ABS(F70-$B$52), ABS(F70-180-$B$52), ABS(F70+180-$B$52))</f>
        <v>82.006363636</v>
      </c>
    </row>
    <row r="71" customFormat="false" ht="14.25" hidden="false" customHeight="false" outlineLevel="0" collapsed="false">
      <c r="F71" s="1" t="n">
        <v>-12.272727273</v>
      </c>
      <c r="G71" s="1" t="n">
        <v>0.003204358</v>
      </c>
      <c r="H71" s="34" t="n">
        <v>0.010924918</v>
      </c>
      <c r="K71" s="15" t="n">
        <f aca="false">MIN(ABS(F71-$B$52), ABS(F71-180-$B$52), ABS(F71+180-$B$52))</f>
        <v>86.097272727</v>
      </c>
    </row>
    <row r="72" customFormat="false" ht="14.25" hidden="false" customHeight="false" outlineLevel="0" collapsed="false">
      <c r="F72" s="1" t="n">
        <v>-8.181818182</v>
      </c>
      <c r="G72" s="1" t="n">
        <v>0.003170479</v>
      </c>
      <c r="H72" s="34" t="n">
        <v>0.010924918</v>
      </c>
      <c r="K72" s="15" t="n">
        <f aca="false">MIN(ABS(F72-$B$52), ABS(F72-180-$B$52), ABS(F72+180-$B$52))</f>
        <v>89.811818182</v>
      </c>
    </row>
    <row r="73" customFormat="false" ht="14.25" hidden="false" customHeight="false" outlineLevel="0" collapsed="false">
      <c r="F73" s="1" t="n">
        <v>-4.090909091</v>
      </c>
      <c r="G73" s="1" t="n">
        <v>0.003140362</v>
      </c>
      <c r="H73" s="34" t="n">
        <v>0.010924918</v>
      </c>
      <c r="K73" s="15" t="n">
        <f aca="false">MIN(ABS(F73-$B$52), ABS(F73-180-$B$52), ABS(F73+180-$B$52))</f>
        <v>85.720909091</v>
      </c>
    </row>
    <row r="74" customFormat="false" ht="14.25" hidden="false" customHeight="false" outlineLevel="0" collapsed="false">
      <c r="F74" s="1" t="n">
        <v>0</v>
      </c>
      <c r="G74" s="1" t="n">
        <v>0.003395585</v>
      </c>
      <c r="H74" s="34" t="n">
        <v>0.010924918</v>
      </c>
      <c r="K74" s="15" t="n">
        <f aca="false">MIN(ABS(F74-$B$52), ABS(F74-180-$B$52), ABS(F74+180-$B$52))</f>
        <v>81.63</v>
      </c>
    </row>
    <row r="75" customFormat="false" ht="14.25" hidden="false" customHeight="false" outlineLevel="0" collapsed="false">
      <c r="F75" s="1" t="n">
        <v>4.090909091</v>
      </c>
      <c r="G75" s="1" t="n">
        <v>0.00341753</v>
      </c>
      <c r="H75" s="34" t="n">
        <v>0.010924918</v>
      </c>
      <c r="K75" s="15" t="n">
        <f aca="false">MIN(ABS(F75-$B$52), ABS(F75-180-$B$52), ABS(F75+180-$B$52))</f>
        <v>77.539090909</v>
      </c>
    </row>
    <row r="76" customFormat="false" ht="14.25" hidden="false" customHeight="false" outlineLevel="0" collapsed="false">
      <c r="F76" s="1" t="n">
        <v>8.181818182</v>
      </c>
      <c r="G76" s="1" t="n">
        <v>0.003551132</v>
      </c>
      <c r="H76" s="34" t="n">
        <v>0.010924918</v>
      </c>
      <c r="K76" s="15" t="n">
        <f aca="false">MIN(ABS(F76-$B$52), ABS(F76-180-$B$52), ABS(F76+180-$B$52))</f>
        <v>73.448181818</v>
      </c>
    </row>
    <row r="77" customFormat="false" ht="14.25" hidden="false" customHeight="false" outlineLevel="0" collapsed="false">
      <c r="F77" s="1" t="n">
        <v>12.272727273</v>
      </c>
      <c r="G77" s="1" t="n">
        <v>0.003731039</v>
      </c>
      <c r="H77" s="34" t="n">
        <v>0.010924918</v>
      </c>
      <c r="K77" s="15" t="n">
        <f aca="false">MIN(ABS(F77-$B$52), ABS(F77-180-$B$52), ABS(F77+180-$B$52))</f>
        <v>69.357272727</v>
      </c>
    </row>
    <row r="78" customFormat="false" ht="14.25" hidden="false" customHeight="false" outlineLevel="0" collapsed="false">
      <c r="F78" s="1" t="n">
        <v>16.363636364</v>
      </c>
      <c r="G78" s="1" t="n">
        <v>0.003806587</v>
      </c>
      <c r="H78" s="34" t="n">
        <v>0.01092492</v>
      </c>
      <c r="K78" s="15" t="n">
        <f aca="false">MIN(ABS(F78-$B$52), ABS(F78-180-$B$52), ABS(F78+180-$B$52))</f>
        <v>65.266363636</v>
      </c>
    </row>
    <row r="79" customFormat="false" ht="14.25" hidden="false" customHeight="false" outlineLevel="0" collapsed="false">
      <c r="F79" s="1" t="n">
        <v>20.454545455</v>
      </c>
      <c r="G79" s="1" t="n">
        <v>0.004125894</v>
      </c>
      <c r="H79" s="34" t="n">
        <v>0.010924939</v>
      </c>
      <c r="K79" s="15" t="n">
        <f aca="false">MIN(ABS(F79-$B$52), ABS(F79-180-$B$52), ABS(F79+180-$B$52))</f>
        <v>61.175454545</v>
      </c>
    </row>
    <row r="80" customFormat="false" ht="14.25" hidden="false" customHeight="false" outlineLevel="0" collapsed="false">
      <c r="F80" s="1" t="n">
        <v>24.545454545</v>
      </c>
      <c r="G80" s="1" t="n">
        <v>0.00437057</v>
      </c>
      <c r="H80" s="34" t="n">
        <v>0.010925074</v>
      </c>
      <c r="K80" s="15" t="n">
        <f aca="false">MIN(ABS(F80-$B$52), ABS(F80-180-$B$52), ABS(F80+180-$B$52))</f>
        <v>57.084545455</v>
      </c>
    </row>
    <row r="81" customFormat="false" ht="14.25" hidden="false" customHeight="false" outlineLevel="0" collapsed="false">
      <c r="F81" s="1" t="n">
        <v>28.636363636</v>
      </c>
      <c r="G81" s="1" t="n">
        <v>0.004743323</v>
      </c>
      <c r="H81" s="34" t="n">
        <v>0.010925896</v>
      </c>
      <c r="K81" s="15" t="n">
        <f aca="false">MIN(ABS(F81-$B$52), ABS(F81-180-$B$52), ABS(F81+180-$B$52))</f>
        <v>52.993636364</v>
      </c>
    </row>
    <row r="82" customFormat="false" ht="14.25" hidden="false" customHeight="false" outlineLevel="0" collapsed="false">
      <c r="F82" s="1" t="n">
        <v>32.727272727</v>
      </c>
      <c r="G82" s="1" t="n">
        <v>0.005460441</v>
      </c>
      <c r="H82" s="34" t="n">
        <v>0.010930261</v>
      </c>
      <c r="K82" s="15" t="n">
        <f aca="false">MIN(ABS(F82-$B$52), ABS(F82-180-$B$52), ABS(F82+180-$B$52))</f>
        <v>48.902727273</v>
      </c>
    </row>
    <row r="83" customFormat="false" ht="14.25" hidden="false" customHeight="false" outlineLevel="0" collapsed="false">
      <c r="F83" s="1" t="n">
        <v>36.818181818</v>
      </c>
      <c r="G83" s="1" t="n">
        <v>0.006299065</v>
      </c>
      <c r="H83" s="34" t="n">
        <v>0.010950367</v>
      </c>
      <c r="K83" s="15" t="n">
        <f aca="false">MIN(ABS(F83-$B$52), ABS(F83-180-$B$52), ABS(F83+180-$B$52))</f>
        <v>44.811818182</v>
      </c>
    </row>
    <row r="84" customFormat="false" ht="14.25" hidden="false" customHeight="false" outlineLevel="0" collapsed="false">
      <c r="F84" s="1" t="n">
        <v>40.909090909</v>
      </c>
      <c r="G84" s="1" t="n">
        <v>0.007158448</v>
      </c>
      <c r="H84" s="34" t="n">
        <v>0.011030692</v>
      </c>
      <c r="K84" s="15" t="n">
        <f aca="false">MIN(ABS(F84-$B$52), ABS(F84-180-$B$52), ABS(F84+180-$B$52))</f>
        <v>40.720909091</v>
      </c>
    </row>
    <row r="85" customFormat="false" ht="14.25" hidden="false" customHeight="false" outlineLevel="0" collapsed="false">
      <c r="F85" s="1" t="n">
        <v>45</v>
      </c>
      <c r="G85" s="1" t="n">
        <v>0.008667129</v>
      </c>
      <c r="H85" s="34" t="n">
        <v>0.011308539</v>
      </c>
      <c r="K85" s="15" t="n">
        <f aca="false">MIN(ABS(F85-$B$52), ABS(F85-180-$B$52), ABS(F85+180-$B$52))</f>
        <v>36.63</v>
      </c>
    </row>
    <row r="86" customFormat="false" ht="14.25" hidden="false" customHeight="false" outlineLevel="0" collapsed="false">
      <c r="F86" s="1" t="n">
        <v>49.090909091</v>
      </c>
      <c r="G86" s="1" t="n">
        <v>0.010027393</v>
      </c>
      <c r="H86" s="34" t="n">
        <v>0.01213898</v>
      </c>
      <c r="K86" s="15" t="n">
        <f aca="false">MIN(ABS(F86-$B$52), ABS(F86-180-$B$52), ABS(F86+180-$B$52))</f>
        <v>32.539090909</v>
      </c>
    </row>
    <row r="87" customFormat="false" ht="14.25" hidden="false" customHeight="false" outlineLevel="0" collapsed="false">
      <c r="F87" s="1" t="n">
        <v>53.181818182</v>
      </c>
      <c r="G87" s="1" t="n">
        <v>0.013020356</v>
      </c>
      <c r="H87" s="34" t="n">
        <v>0.014277631</v>
      </c>
      <c r="K87" s="15" t="n">
        <f aca="false">MIN(ABS(F87-$B$52), ABS(F87-180-$B$52), ABS(F87+180-$B$52))</f>
        <v>28.448181818</v>
      </c>
    </row>
    <row r="88" customFormat="false" ht="14.25" hidden="false" customHeight="false" outlineLevel="0" collapsed="false">
      <c r="F88" s="1" t="n">
        <v>57.272727273</v>
      </c>
      <c r="G88" s="1" t="n">
        <v>0.018322693</v>
      </c>
      <c r="H88" s="34" t="n">
        <v>0.01900412</v>
      </c>
      <c r="K88" s="15" t="n">
        <f aca="false">MIN(ABS(F88-$B$52), ABS(F88-180-$B$52), ABS(F88+180-$B$52))</f>
        <v>24.357272727</v>
      </c>
    </row>
    <row r="89" customFormat="false" ht="14.25" hidden="false" customHeight="false" outlineLevel="0" collapsed="false">
      <c r="F89" s="1" t="n">
        <v>61.363636364</v>
      </c>
      <c r="G89" s="1" t="n">
        <v>0.029861591</v>
      </c>
      <c r="H89" s="34" t="n">
        <v>0.027913507</v>
      </c>
      <c r="K89" s="15" t="n">
        <f aca="false">MIN(ABS(F89-$B$52), ABS(F89-180-$B$52), ABS(F89+180-$B$52))</f>
        <v>20.266363636</v>
      </c>
    </row>
    <row r="90" customFormat="false" ht="14.25" hidden="false" customHeight="false" outlineLevel="0" collapsed="false">
      <c r="F90" s="1" t="n">
        <v>65.454545455</v>
      </c>
      <c r="G90" s="1" t="n">
        <v>0.043827397</v>
      </c>
      <c r="H90" s="34" t="n">
        <v>0.042096789</v>
      </c>
      <c r="K90" s="15" t="n">
        <f aca="false">MIN(ABS(F90-$B$52), ABS(F90-180-$B$52), ABS(F90+180-$B$52))</f>
        <v>16.175454545</v>
      </c>
    </row>
    <row r="91" customFormat="false" ht="14.25" hidden="false" customHeight="false" outlineLevel="0" collapsed="false">
      <c r="F91" s="1" t="n">
        <v>69.545454545</v>
      </c>
      <c r="G91" s="1" t="n">
        <v>0.056518112</v>
      </c>
      <c r="H91" s="34" t="n">
        <v>0.060834643</v>
      </c>
      <c r="K91" s="15" t="n">
        <f aca="false">MIN(ABS(F91-$B$52), ABS(F91-180-$B$52), ABS(F91+180-$B$52))</f>
        <v>12.084545455</v>
      </c>
    </row>
    <row r="92" customFormat="false" ht="14.25" hidden="false" customHeight="false" outlineLevel="0" collapsed="false">
      <c r="F92" s="1" t="n">
        <v>73.636363636</v>
      </c>
      <c r="G92" s="1" t="n">
        <v>0.082830699</v>
      </c>
      <c r="H92" s="34" t="n">
        <v>0.08065565</v>
      </c>
      <c r="K92" s="15" t="n">
        <f aca="false">MIN(ABS(F92-$B$52), ABS(F92-180-$B$52), ABS(F92+180-$B$52))</f>
        <v>7.993636364</v>
      </c>
    </row>
    <row r="93" customFormat="false" ht="14.25" hidden="false" customHeight="false" outlineLevel="0" collapsed="false">
      <c r="F93" s="1" t="n">
        <v>77.727272727</v>
      </c>
      <c r="G93" s="1" t="n">
        <v>0.096934316</v>
      </c>
      <c r="H93" s="34" t="n">
        <v>0.095936874</v>
      </c>
      <c r="K93" s="15" t="n">
        <f aca="false">MIN(ABS(F93-$B$52), ABS(F93-180-$B$52), ABS(F93+180-$B$52))</f>
        <v>3.902727273</v>
      </c>
    </row>
    <row r="94" s="19" customFormat="true" ht="14.25" hidden="false" customHeight="false" outlineLevel="0" collapsed="false">
      <c r="A94" s="1"/>
      <c r="B94" s="1"/>
      <c r="C94" s="1"/>
      <c r="D94" s="1"/>
      <c r="E94" s="1"/>
      <c r="F94" s="1" t="n">
        <v>81.818181818</v>
      </c>
      <c r="G94" s="1" t="n">
        <v>0.101386422</v>
      </c>
      <c r="H94" s="34" t="n">
        <v>0.10136325</v>
      </c>
      <c r="I94" s="1"/>
      <c r="J94" s="1"/>
      <c r="K94" s="15" t="n">
        <f aca="false">MIN(ABS(F94-$B$52), ABS(F94-180-$B$52), ABS(F94+180-$B$52))</f>
        <v>0.188181818000004</v>
      </c>
      <c r="L94" s="1"/>
      <c r="M94" s="1"/>
    </row>
    <row r="95" customFormat="false" ht="14.25" hidden="false" customHeight="false" outlineLevel="0" collapsed="false">
      <c r="F95" s="1" t="n">
        <v>85.909090909</v>
      </c>
      <c r="G95" s="1" t="n">
        <v>0.092284577</v>
      </c>
      <c r="H95" s="34" t="n">
        <v>0.094879</v>
      </c>
      <c r="K95" s="15" t="n">
        <f aca="false">MIN(ABS(F95-$B$52), ABS(F95-180-$B$52), ABS(F95+180-$B$52))</f>
        <v>4.279090909</v>
      </c>
    </row>
    <row r="96" customFormat="false" ht="14.25" hidden="false" customHeight="false" outlineLevel="0" collapsed="false">
      <c r="A96" s="19"/>
      <c r="B96" s="19"/>
      <c r="C96" s="19"/>
      <c r="D96" s="19"/>
      <c r="E96" s="19"/>
      <c r="F96" s="19" t="n">
        <v>90</v>
      </c>
      <c r="G96" s="19" t="n">
        <v>0.080717791</v>
      </c>
      <c r="H96" s="35" t="n">
        <v>0.078931013</v>
      </c>
      <c r="I96" s="19"/>
      <c r="J96" s="19"/>
      <c r="K96" s="15" t="n">
        <f aca="false">MIN(ABS(F96-$B$52), ABS(F96-180-$B$52), ABS(F96+180-$B$52))</f>
        <v>8.37000000000001</v>
      </c>
      <c r="L96" s="19"/>
      <c r="M96" s="19"/>
    </row>
    <row r="97" customFormat="false" ht="14.25" hidden="false" customHeight="false" outlineLevel="0" collapsed="false">
      <c r="A97" s="14" t="n">
        <v>20241115</v>
      </c>
      <c r="B97" s="14" t="n">
        <v>74.56</v>
      </c>
      <c r="C97" s="14" t="n">
        <v>10.26</v>
      </c>
      <c r="D97" s="14" t="n">
        <v>0.53</v>
      </c>
      <c r="E97" s="14" t="n">
        <v>0.88</v>
      </c>
      <c r="F97" s="1" t="n">
        <v>-90</v>
      </c>
      <c r="G97" s="1" t="n">
        <v>0.046988443</v>
      </c>
      <c r="H97" s="34" t="n">
        <v>0.012856491</v>
      </c>
      <c r="K97" s="15" t="n">
        <f aca="false">MIN(ABS(F97-$B$97), ABS(F97-180-$B$97), ABS(F97+180-$B$97))</f>
        <v>15.44</v>
      </c>
      <c r="L97" s="16" t="n">
        <f aca="false" t="array" ref="L97:L97">SQRT(SUMPRODUCT(G97:G141,K97:K141*K97:K141))</f>
        <v>35.8475981983896</v>
      </c>
      <c r="M97" s="3" t="n">
        <f aca="false" t="array" ref="M97:M97">SUMPRODUCT(G97:G141,ABS(K97:K141))</f>
        <v>25.7480309795323</v>
      </c>
    </row>
    <row r="98" customFormat="false" ht="14.25" hidden="false" customHeight="false" outlineLevel="0" collapsed="false">
      <c r="F98" s="1" t="n">
        <v>-85.909090909</v>
      </c>
      <c r="G98" s="1" t="n">
        <v>0.023942954</v>
      </c>
      <c r="H98" s="34" t="n">
        <v>0.012856491</v>
      </c>
      <c r="K98" s="15" t="n">
        <f aca="false">MIN(ABS(F98-$B$97), ABS(F98-180-$B$97), ABS(F98+180-$B$97))</f>
        <v>19.530909091</v>
      </c>
    </row>
    <row r="99" customFormat="false" ht="14.25" hidden="false" customHeight="false" outlineLevel="0" collapsed="false">
      <c r="F99" s="1" t="n">
        <v>-81.818181818</v>
      </c>
      <c r="G99" s="1" t="n">
        <v>0.021660275</v>
      </c>
      <c r="H99" s="34" t="n">
        <v>0.012856491</v>
      </c>
      <c r="K99" s="15" t="n">
        <f aca="false">MIN(ABS(F99-$B$97), ABS(F99-180-$B$97), ABS(F99+180-$B$97))</f>
        <v>23.621818182</v>
      </c>
    </row>
    <row r="100" customFormat="false" ht="14.25" hidden="false" customHeight="false" outlineLevel="0" collapsed="false">
      <c r="F100" s="1" t="n">
        <v>-77.727272727</v>
      </c>
      <c r="G100" s="1" t="n">
        <v>0.017006954</v>
      </c>
      <c r="H100" s="34" t="n">
        <v>0.012856491</v>
      </c>
      <c r="K100" s="15" t="n">
        <f aca="false">MIN(ABS(F100-$B$97), ABS(F100-180-$B$97), ABS(F100+180-$B$97))</f>
        <v>27.712727273</v>
      </c>
      <c r="L100" s="1" t="n">
        <f aca="false">C97/L97</f>
        <v>0.286211643614687</v>
      </c>
    </row>
    <row r="101" customFormat="false" ht="14.25" hidden="false" customHeight="false" outlineLevel="0" collapsed="false">
      <c r="F101" s="1" t="n">
        <v>-73.636363636</v>
      </c>
      <c r="G101" s="1" t="n">
        <v>0.014107543</v>
      </c>
      <c r="H101" s="34" t="n">
        <v>0.012856491</v>
      </c>
      <c r="K101" s="15" t="n">
        <f aca="false">MIN(ABS(F101-$B$97), ABS(F101-180-$B$97), ABS(F101+180-$B$97))</f>
        <v>31.803636364</v>
      </c>
    </row>
    <row r="102" customFormat="false" ht="14.25" hidden="false" customHeight="false" outlineLevel="0" collapsed="false">
      <c r="F102" s="1" t="n">
        <v>-69.545454545</v>
      </c>
      <c r="G102" s="1" t="n">
        <v>0.013643227</v>
      </c>
      <c r="H102" s="34" t="n">
        <v>0.012856491</v>
      </c>
      <c r="K102" s="15" t="n">
        <f aca="false">MIN(ABS(F102-$B$97), ABS(F102-180-$B$97), ABS(F102+180-$B$97))</f>
        <v>35.894545455</v>
      </c>
    </row>
    <row r="103" customFormat="false" ht="14.25" hidden="false" customHeight="false" outlineLevel="0" collapsed="false">
      <c r="F103" s="1" t="n">
        <v>-65.454545455</v>
      </c>
      <c r="G103" s="1" t="n">
        <v>0.013295369</v>
      </c>
      <c r="H103" s="34" t="n">
        <v>0.012856491</v>
      </c>
      <c r="K103" s="15" t="n">
        <f aca="false">MIN(ABS(F103-$B$97), ABS(F103-180-$B$97), ABS(F103+180-$B$97))</f>
        <v>39.985454545</v>
      </c>
    </row>
    <row r="104" customFormat="false" ht="14.25" hidden="false" customHeight="false" outlineLevel="0" collapsed="false">
      <c r="F104" s="1" t="n">
        <v>-61.363636364</v>
      </c>
      <c r="G104" s="1" t="n">
        <v>0.011750395</v>
      </c>
      <c r="H104" s="34" t="n">
        <v>0.012856491</v>
      </c>
      <c r="K104" s="15" t="n">
        <f aca="false">MIN(ABS(F104-$B$97), ABS(F104-180-$B$97), ABS(F104+180-$B$97))</f>
        <v>44.076363636</v>
      </c>
    </row>
    <row r="105" customFormat="false" ht="14.25" hidden="false" customHeight="false" outlineLevel="0" collapsed="false">
      <c r="F105" s="1" t="n">
        <v>-57.272727273</v>
      </c>
      <c r="G105" s="1" t="n">
        <v>0.011728679</v>
      </c>
      <c r="H105" s="34" t="n">
        <v>0.012856491</v>
      </c>
      <c r="K105" s="15" t="n">
        <f aca="false">MIN(ABS(F105-$B$97), ABS(F105-180-$B$97), ABS(F105+180-$B$97))</f>
        <v>48.167272727</v>
      </c>
    </row>
    <row r="106" customFormat="false" ht="14.25" hidden="false" customHeight="false" outlineLevel="0" collapsed="false">
      <c r="F106" s="1" t="n">
        <v>-53.181818182</v>
      </c>
      <c r="G106" s="1" t="n">
        <v>0.011275907</v>
      </c>
      <c r="H106" s="34" t="n">
        <v>0.012856491</v>
      </c>
      <c r="K106" s="15" t="n">
        <f aca="false">MIN(ABS(F106-$B$97), ABS(F106-180-$B$97), ABS(F106+180-$B$97))</f>
        <v>52.258181818</v>
      </c>
    </row>
    <row r="107" customFormat="false" ht="14.25" hidden="false" customHeight="false" outlineLevel="0" collapsed="false">
      <c r="F107" s="1" t="n">
        <v>-49.090909091</v>
      </c>
      <c r="G107" s="1" t="n">
        <v>0.010261316</v>
      </c>
      <c r="H107" s="34" t="n">
        <v>0.012856491</v>
      </c>
      <c r="K107" s="15" t="n">
        <f aca="false">MIN(ABS(F107-$B$97), ABS(F107-180-$B$97), ABS(F107+180-$B$97))</f>
        <v>56.349090909</v>
      </c>
    </row>
    <row r="108" customFormat="false" ht="14.25" hidden="false" customHeight="false" outlineLevel="0" collapsed="false">
      <c r="F108" s="1" t="n">
        <v>-45</v>
      </c>
      <c r="G108" s="1" t="n">
        <v>0.010378592</v>
      </c>
      <c r="H108" s="34" t="n">
        <v>0.012856491</v>
      </c>
      <c r="K108" s="15" t="n">
        <f aca="false">MIN(ABS(F108-$B$97), ABS(F108-180-$B$97), ABS(F108+180-$B$97))</f>
        <v>60.44</v>
      </c>
    </row>
    <row r="109" customFormat="false" ht="14.25" hidden="false" customHeight="false" outlineLevel="0" collapsed="false">
      <c r="F109" s="1" t="n">
        <v>-40.909090909</v>
      </c>
      <c r="G109" s="1" t="n">
        <v>0.009865481</v>
      </c>
      <c r="H109" s="34" t="n">
        <v>0.012856491</v>
      </c>
      <c r="K109" s="15" t="n">
        <f aca="false">MIN(ABS(F109-$B$97), ABS(F109-180-$B$97), ABS(F109+180-$B$97))</f>
        <v>64.530909091</v>
      </c>
    </row>
    <row r="110" customFormat="false" ht="14.25" hidden="false" customHeight="false" outlineLevel="0" collapsed="false">
      <c r="F110" s="1" t="n">
        <v>-36.818181818</v>
      </c>
      <c r="G110" s="1" t="n">
        <v>0.009497073</v>
      </c>
      <c r="H110" s="34" t="n">
        <v>0.012856491</v>
      </c>
      <c r="K110" s="15" t="n">
        <f aca="false">MIN(ABS(F110-$B$97), ABS(F110-180-$B$97), ABS(F110+180-$B$97))</f>
        <v>68.621818182</v>
      </c>
    </row>
    <row r="111" customFormat="false" ht="14.25" hidden="false" customHeight="false" outlineLevel="0" collapsed="false">
      <c r="F111" s="1" t="n">
        <v>-32.727272727</v>
      </c>
      <c r="G111" s="1" t="n">
        <v>0.009671954</v>
      </c>
      <c r="H111" s="34" t="n">
        <v>0.012856491</v>
      </c>
      <c r="K111" s="15" t="n">
        <f aca="false">MIN(ABS(F111-$B$97), ABS(F111-180-$B$97), ABS(F111+180-$B$97))</f>
        <v>72.712727273</v>
      </c>
    </row>
    <row r="112" customFormat="false" ht="14.25" hidden="false" customHeight="false" outlineLevel="0" collapsed="false">
      <c r="F112" s="1" t="n">
        <v>-28.636363636</v>
      </c>
      <c r="G112" s="1" t="n">
        <v>0.009205704</v>
      </c>
      <c r="H112" s="34" t="n">
        <v>0.012856491</v>
      </c>
      <c r="K112" s="15" t="n">
        <f aca="false">MIN(ABS(F112-$B$97), ABS(F112-180-$B$97), ABS(F112+180-$B$97))</f>
        <v>76.803636364</v>
      </c>
    </row>
    <row r="113" customFormat="false" ht="14.25" hidden="false" customHeight="false" outlineLevel="0" collapsed="false">
      <c r="F113" s="1" t="n">
        <v>-24.545454545</v>
      </c>
      <c r="G113" s="1" t="n">
        <v>0.009625208</v>
      </c>
      <c r="H113" s="34" t="n">
        <v>0.012856491</v>
      </c>
      <c r="K113" s="15" t="n">
        <f aca="false">MIN(ABS(F113-$B$97), ABS(F113-180-$B$97), ABS(F113+180-$B$97))</f>
        <v>80.894545455</v>
      </c>
    </row>
    <row r="114" customFormat="false" ht="14.25" hidden="false" customHeight="false" outlineLevel="0" collapsed="false">
      <c r="F114" s="1" t="n">
        <v>-20.454545455</v>
      </c>
      <c r="G114" s="1" t="n">
        <v>0.009041177</v>
      </c>
      <c r="H114" s="34" t="n">
        <v>0.012856491</v>
      </c>
      <c r="K114" s="15" t="n">
        <f aca="false">MIN(ABS(F114-$B$97), ABS(F114-180-$B$97), ABS(F114+180-$B$97))</f>
        <v>84.985454545</v>
      </c>
    </row>
    <row r="115" customFormat="false" ht="14.25" hidden="false" customHeight="false" outlineLevel="0" collapsed="false">
      <c r="F115" s="1" t="n">
        <v>-16.363636364</v>
      </c>
      <c r="G115" s="1" t="n">
        <v>0.009213883</v>
      </c>
      <c r="H115" s="34" t="n">
        <v>0.012856491</v>
      </c>
      <c r="K115" s="15" t="n">
        <f aca="false">MIN(ABS(F115-$B$97), ABS(F115-180-$B$97), ABS(F115+180-$B$97))</f>
        <v>89.076363636</v>
      </c>
    </row>
    <row r="116" customFormat="false" ht="14.25" hidden="false" customHeight="false" outlineLevel="0" collapsed="false">
      <c r="F116" s="1" t="n">
        <v>-12.272727273</v>
      </c>
      <c r="G116" s="1" t="n">
        <v>0.009423437</v>
      </c>
      <c r="H116" s="34" t="n">
        <v>0.012856491</v>
      </c>
      <c r="K116" s="15" t="n">
        <f aca="false">MIN(ABS(F116-$B$97), ABS(F116-180-$B$97), ABS(F116+180-$B$97))</f>
        <v>86.832727273</v>
      </c>
    </row>
    <row r="117" customFormat="false" ht="14.25" hidden="false" customHeight="false" outlineLevel="0" collapsed="false">
      <c r="F117" s="1" t="n">
        <v>-8.181818182</v>
      </c>
      <c r="G117" s="1" t="n">
        <v>0.00926466</v>
      </c>
      <c r="H117" s="34" t="n">
        <v>0.012856491</v>
      </c>
      <c r="K117" s="15" t="n">
        <f aca="false">MIN(ABS(F117-$B$97), ABS(F117-180-$B$97), ABS(F117+180-$B$97))</f>
        <v>82.741818182</v>
      </c>
    </row>
    <row r="118" customFormat="false" ht="14.25" hidden="false" customHeight="false" outlineLevel="0" collapsed="false">
      <c r="F118" s="1" t="n">
        <v>-4.090909091</v>
      </c>
      <c r="G118" s="1" t="n">
        <v>0.009636156</v>
      </c>
      <c r="H118" s="34" t="n">
        <v>0.012856491</v>
      </c>
      <c r="K118" s="15" t="n">
        <f aca="false">MIN(ABS(F118-$B$97), ABS(F118-180-$B$97), ABS(F118+180-$B$97))</f>
        <v>78.650909091</v>
      </c>
    </row>
    <row r="119" customFormat="false" ht="14.25" hidden="false" customHeight="false" outlineLevel="0" collapsed="false">
      <c r="F119" s="1" t="n">
        <v>0</v>
      </c>
      <c r="G119" s="1" t="n">
        <v>0.011654966</v>
      </c>
      <c r="H119" s="34" t="n">
        <v>0.012856491</v>
      </c>
      <c r="K119" s="15" t="n">
        <f aca="false">MIN(ABS(F119-$B$97), ABS(F119-180-$B$97), ABS(F119+180-$B$97))</f>
        <v>74.56</v>
      </c>
    </row>
    <row r="120" customFormat="false" ht="14.25" hidden="false" customHeight="false" outlineLevel="0" collapsed="false">
      <c r="F120" s="1" t="n">
        <v>4.090909091</v>
      </c>
      <c r="G120" s="1" t="n">
        <v>0.010543405</v>
      </c>
      <c r="H120" s="34" t="n">
        <v>0.012856491</v>
      </c>
      <c r="K120" s="15" t="n">
        <f aca="false">MIN(ABS(F120-$B$97), ABS(F120-180-$B$97), ABS(F120+180-$B$97))</f>
        <v>70.469090909</v>
      </c>
    </row>
    <row r="121" customFormat="false" ht="14.25" hidden="false" customHeight="false" outlineLevel="0" collapsed="false">
      <c r="F121" s="1" t="n">
        <v>8.181818182</v>
      </c>
      <c r="G121" s="1" t="n">
        <v>0.01056545</v>
      </c>
      <c r="H121" s="34" t="n">
        <v>0.012856491</v>
      </c>
      <c r="K121" s="15" t="n">
        <f aca="false">MIN(ABS(F121-$B$97), ABS(F121-180-$B$97), ABS(F121+180-$B$97))</f>
        <v>66.378181818</v>
      </c>
    </row>
    <row r="122" customFormat="false" ht="14.25" hidden="false" customHeight="false" outlineLevel="0" collapsed="false">
      <c r="F122" s="1" t="n">
        <v>12.272727273</v>
      </c>
      <c r="G122" s="1" t="n">
        <v>0.009928306</v>
      </c>
      <c r="H122" s="34" t="n">
        <v>0.012856491</v>
      </c>
      <c r="K122" s="15" t="n">
        <f aca="false">MIN(ABS(F122-$B$97), ABS(F122-180-$B$97), ABS(F122+180-$B$97))</f>
        <v>62.287272727</v>
      </c>
    </row>
    <row r="123" customFormat="false" ht="14.25" hidden="false" customHeight="false" outlineLevel="0" collapsed="false">
      <c r="F123" s="1" t="n">
        <v>16.363636364</v>
      </c>
      <c r="G123" s="1" t="n">
        <v>0.010154955</v>
      </c>
      <c r="H123" s="34" t="n">
        <v>0.012856498</v>
      </c>
      <c r="K123" s="15" t="n">
        <f aca="false">MIN(ABS(F123-$B$97), ABS(F123-180-$B$97), ABS(F123+180-$B$97))</f>
        <v>58.196363636</v>
      </c>
    </row>
    <row r="124" customFormat="false" ht="14.25" hidden="false" customHeight="false" outlineLevel="0" collapsed="false">
      <c r="F124" s="1" t="n">
        <v>20.454545455</v>
      </c>
      <c r="G124" s="1" t="n">
        <v>0.010592576</v>
      </c>
      <c r="H124" s="34" t="n">
        <v>0.012856555</v>
      </c>
      <c r="K124" s="15" t="n">
        <f aca="false">MIN(ABS(F124-$B$97), ABS(F124-180-$B$97), ABS(F124+180-$B$97))</f>
        <v>54.105454545</v>
      </c>
    </row>
    <row r="125" customFormat="false" ht="14.25" hidden="false" customHeight="false" outlineLevel="0" collapsed="false">
      <c r="F125" s="1" t="n">
        <v>24.545454545</v>
      </c>
      <c r="G125" s="1" t="n">
        <v>0.010768106</v>
      </c>
      <c r="H125" s="34" t="n">
        <v>0.012856975</v>
      </c>
      <c r="K125" s="15" t="n">
        <f aca="false">MIN(ABS(F125-$B$97), ABS(F125-180-$B$97), ABS(F125+180-$B$97))</f>
        <v>50.014545455</v>
      </c>
    </row>
    <row r="126" customFormat="false" ht="14.25" hidden="false" customHeight="false" outlineLevel="0" collapsed="false">
      <c r="F126" s="1" t="n">
        <v>28.636363636</v>
      </c>
      <c r="G126" s="1" t="n">
        <v>0.011374657</v>
      </c>
      <c r="H126" s="34" t="n">
        <v>0.012859615</v>
      </c>
      <c r="K126" s="15" t="n">
        <f aca="false">MIN(ABS(F126-$B$97), ABS(F126-180-$B$97), ABS(F126+180-$B$97))</f>
        <v>45.923636364</v>
      </c>
    </row>
    <row r="127" customFormat="false" ht="14.25" hidden="false" customHeight="false" outlineLevel="0" collapsed="false">
      <c r="F127" s="1" t="n">
        <v>32.727272727</v>
      </c>
      <c r="G127" s="1" t="n">
        <v>0.011840824</v>
      </c>
      <c r="H127" s="34" t="n">
        <v>0.01287368</v>
      </c>
      <c r="K127" s="15" t="n">
        <f aca="false">MIN(ABS(F127-$B$97), ABS(F127-180-$B$97), ABS(F127+180-$B$97))</f>
        <v>41.832727273</v>
      </c>
    </row>
    <row r="128" customFormat="false" ht="14.25" hidden="false" customHeight="false" outlineLevel="0" collapsed="false">
      <c r="F128" s="1" t="n">
        <v>36.818181818</v>
      </c>
      <c r="G128" s="1" t="n">
        <v>0.01345147</v>
      </c>
      <c r="H128" s="34" t="n">
        <v>0.012937173</v>
      </c>
      <c r="K128" s="15" t="n">
        <f aca="false">MIN(ABS(F128-$B$97), ABS(F128-180-$B$97), ABS(F128+180-$B$97))</f>
        <v>37.741818182</v>
      </c>
    </row>
    <row r="129" customFormat="false" ht="14.25" hidden="false" customHeight="false" outlineLevel="0" collapsed="false">
      <c r="F129" s="1" t="n">
        <v>40.909090909</v>
      </c>
      <c r="G129" s="1" t="n">
        <v>0.012691623</v>
      </c>
      <c r="H129" s="34" t="n">
        <v>0.013179524</v>
      </c>
      <c r="K129" s="15" t="n">
        <f aca="false">MIN(ABS(F129-$B$97), ABS(F129-180-$B$97), ABS(F129+180-$B$97))</f>
        <v>33.650909091</v>
      </c>
    </row>
    <row r="130" customFormat="false" ht="14.25" hidden="false" customHeight="false" outlineLevel="0" collapsed="false">
      <c r="F130" s="1" t="n">
        <v>45</v>
      </c>
      <c r="G130" s="1" t="n">
        <v>0.015013059</v>
      </c>
      <c r="H130" s="34" t="n">
        <v>0.013959765</v>
      </c>
      <c r="K130" s="15" t="n">
        <f aca="false">MIN(ABS(F130-$B$97), ABS(F130-180-$B$97), ABS(F130+180-$B$97))</f>
        <v>29.56</v>
      </c>
    </row>
    <row r="131" customFormat="false" ht="14.25" hidden="false" customHeight="false" outlineLevel="0" collapsed="false">
      <c r="F131" s="1" t="n">
        <v>49.090909091</v>
      </c>
      <c r="G131" s="1" t="n">
        <v>0.016693385</v>
      </c>
      <c r="H131" s="34" t="n">
        <v>0.016070758</v>
      </c>
      <c r="K131" s="15" t="n">
        <f aca="false">MIN(ABS(F131-$B$97), ABS(F131-180-$B$97), ABS(F131+180-$B$97))</f>
        <v>25.469090909</v>
      </c>
    </row>
    <row r="132" customFormat="false" ht="14.25" hidden="false" customHeight="false" outlineLevel="0" collapsed="false">
      <c r="F132" s="1" t="n">
        <v>53.181818182</v>
      </c>
      <c r="G132" s="1" t="n">
        <v>0.01900724</v>
      </c>
      <c r="H132" s="34" t="n">
        <v>0.020844595</v>
      </c>
      <c r="K132" s="15" t="n">
        <f aca="false">MIN(ABS(F132-$B$97), ABS(F132-180-$B$97), ABS(F132+180-$B$97))</f>
        <v>21.378181818</v>
      </c>
    </row>
    <row r="133" customFormat="false" ht="14.25" hidden="false" customHeight="false" outlineLevel="0" collapsed="false">
      <c r="F133" s="1" t="n">
        <v>57.272727273</v>
      </c>
      <c r="G133" s="1" t="n">
        <v>0.025093568</v>
      </c>
      <c r="H133" s="34" t="n">
        <v>0.029790839</v>
      </c>
      <c r="K133" s="15" t="n">
        <f aca="false">MIN(ABS(F133-$B$97), ABS(F133-180-$B$97), ABS(F133+180-$B$97))</f>
        <v>17.287272727</v>
      </c>
    </row>
    <row r="134" customFormat="false" ht="14.25" hidden="false" customHeight="false" outlineLevel="0" collapsed="false">
      <c r="F134" s="1" t="n">
        <v>61.363636364</v>
      </c>
      <c r="G134" s="1" t="n">
        <v>0.035442271</v>
      </c>
      <c r="H134" s="34" t="n">
        <v>0.043480095</v>
      </c>
      <c r="K134" s="15" t="n">
        <f aca="false">MIN(ABS(F134-$B$97), ABS(F134-180-$B$97), ABS(F134+180-$B$97))</f>
        <v>13.196363636</v>
      </c>
    </row>
    <row r="135" customFormat="false" ht="14.25" hidden="false" customHeight="false" outlineLevel="0" collapsed="false">
      <c r="F135" s="1" t="n">
        <v>65.454545455</v>
      </c>
      <c r="G135" s="1" t="n">
        <v>0.069694713</v>
      </c>
      <c r="H135" s="34" t="n">
        <v>0.060096199</v>
      </c>
      <c r="K135" s="15" t="n">
        <f aca="false">MIN(ABS(F135-$B$97), ABS(F135-180-$B$97), ABS(F135+180-$B$97))</f>
        <v>9.105454545</v>
      </c>
    </row>
    <row r="136" customFormat="false" ht="14.25" hidden="false" customHeight="false" outlineLevel="0" collapsed="false">
      <c r="F136" s="1" t="n">
        <v>69.545454545</v>
      </c>
      <c r="G136" s="1" t="n">
        <v>0.073234341</v>
      </c>
      <c r="H136" s="34" t="n">
        <v>0.075017946</v>
      </c>
      <c r="K136" s="15" t="n">
        <f aca="false">MIN(ABS(F136-$B$97), ABS(F136-180-$B$97), ABS(F136+180-$B$97))</f>
        <v>5.014545455</v>
      </c>
    </row>
    <row r="137" customFormat="false" ht="14.25" hidden="false" customHeight="false" outlineLevel="0" collapsed="false">
      <c r="F137" s="1" t="n">
        <v>73.636363636</v>
      </c>
      <c r="G137" s="1" t="n">
        <v>0.093278738</v>
      </c>
      <c r="H137" s="34" t="n">
        <v>0.082631226</v>
      </c>
      <c r="K137" s="15" t="n">
        <f aca="false">MIN(ABS(F137-$B$97), ABS(F137-180-$B$97), ABS(F137+180-$B$97))</f>
        <v>0.923636364000004</v>
      </c>
    </row>
    <row r="138" customFormat="false" ht="14.25" hidden="false" customHeight="false" outlineLevel="0" collapsed="false">
      <c r="F138" s="1" t="n">
        <v>77.727272727</v>
      </c>
      <c r="G138" s="1" t="n">
        <v>0.069162211</v>
      </c>
      <c r="H138" s="34" t="n">
        <v>0.079666002</v>
      </c>
      <c r="K138" s="15" t="n">
        <f aca="false">MIN(ABS(F138-$B$97), ABS(F138-180-$B$97), ABS(F138+180-$B$97))</f>
        <v>3.167272727</v>
      </c>
    </row>
    <row r="139" s="19" customFormat="true" ht="14.25" hidden="false" customHeight="false" outlineLevel="0" collapsed="false">
      <c r="A139" s="1"/>
      <c r="B139" s="1"/>
      <c r="C139" s="1"/>
      <c r="D139" s="1"/>
      <c r="E139" s="1"/>
      <c r="F139" s="1" t="n">
        <v>81.818181818</v>
      </c>
      <c r="G139" s="1" t="n">
        <v>0.062562629</v>
      </c>
      <c r="H139" s="34" t="n">
        <v>0.06742492</v>
      </c>
      <c r="I139" s="1"/>
      <c r="J139" s="1"/>
      <c r="K139" s="15" t="n">
        <f aca="false">MIN(ABS(F139-$B$97), ABS(F139-180-$B$97), ABS(F139+180-$B$97))</f>
        <v>7.258181818</v>
      </c>
      <c r="L139" s="1"/>
      <c r="M139" s="1"/>
    </row>
    <row r="140" customFormat="false" ht="14.25" hidden="false" customHeight="false" outlineLevel="0" collapsed="false">
      <c r="F140" s="1" t="n">
        <v>85.909090909</v>
      </c>
      <c r="G140" s="1" t="n">
        <v>0.049778677</v>
      </c>
      <c r="H140" s="34" t="n">
        <v>0.050876103</v>
      </c>
      <c r="K140" s="15" t="n">
        <f aca="false">MIN(ABS(F140-$B$97), ABS(F140-180-$B$97), ABS(F140+180-$B$97))</f>
        <v>11.349090909</v>
      </c>
    </row>
    <row r="141" customFormat="false" ht="14.25" hidden="false" customHeight="false" outlineLevel="0" collapsed="false">
      <c r="A141" s="19"/>
      <c r="B141" s="19"/>
      <c r="C141" s="19"/>
      <c r="D141" s="19"/>
      <c r="E141" s="19"/>
      <c r="F141" s="19" t="n">
        <v>90</v>
      </c>
      <c r="G141" s="19" t="n">
        <v>0.046988443</v>
      </c>
      <c r="H141" s="35" t="n">
        <v>0.035452772</v>
      </c>
      <c r="I141" s="19"/>
      <c r="J141" s="19"/>
      <c r="K141" s="15" t="n">
        <f aca="false">MIN(ABS(F141-$B$97), ABS(F141-180-$B$97), ABS(F141+180-$B$97))</f>
        <v>15.44</v>
      </c>
      <c r="L141" s="19"/>
      <c r="M141" s="19"/>
    </row>
    <row r="142" customFormat="false" ht="14.25" hidden="false" customHeight="false" outlineLevel="0" collapsed="false">
      <c r="A142" s="14" t="n">
        <v>20241115</v>
      </c>
      <c r="B142" s="14" t="n">
        <v>81.56</v>
      </c>
      <c r="C142" s="14" t="n">
        <v>11.3</v>
      </c>
      <c r="D142" s="14" t="n">
        <v>0.51</v>
      </c>
      <c r="E142" s="14" t="n">
        <v>0.7</v>
      </c>
      <c r="F142" s="1" t="n">
        <v>-90</v>
      </c>
      <c r="G142" s="1" t="n">
        <v>0.070649626</v>
      </c>
      <c r="H142" s="34" t="n">
        <v>0.012899109</v>
      </c>
      <c r="K142" s="15" t="n">
        <f aca="false">MIN(ABS(F142-$B$142), ABS(F142-180-$B$142), ABS(F142+180-$B$142))</f>
        <v>8.44</v>
      </c>
      <c r="L142" s="16" t="n">
        <f aca="false" t="array" ref="L142:L142">SQRT(SUMPRODUCT(G142:G186,K142:K186*K142:K186))</f>
        <v>30.9745810841349</v>
      </c>
      <c r="M142" s="3" t="n">
        <f aca="false" t="array" ref="M142:M142">SUMPRODUCT(G142:G186,ABS(K142:K186))</f>
        <v>21.1230928014938</v>
      </c>
    </row>
    <row r="143" customFormat="false" ht="14.25" hidden="false" customHeight="false" outlineLevel="0" collapsed="false">
      <c r="F143" s="1" t="n">
        <v>-85.909090909</v>
      </c>
      <c r="G143" s="1" t="n">
        <v>0.054936683</v>
      </c>
      <c r="H143" s="34" t="n">
        <v>0.012899109</v>
      </c>
      <c r="K143" s="15" t="n">
        <f aca="false">MIN(ABS(F143-$B$142), ABS(F143-180-$B$142), ABS(F143+180-$B$142))</f>
        <v>12.530909091</v>
      </c>
    </row>
    <row r="144" customFormat="false" ht="14.25" hidden="false" customHeight="false" outlineLevel="0" collapsed="false">
      <c r="F144" s="1" t="n">
        <v>-81.818181818</v>
      </c>
      <c r="G144" s="1" t="n">
        <v>0.046373257</v>
      </c>
      <c r="H144" s="34" t="n">
        <v>0.012899109</v>
      </c>
      <c r="K144" s="15" t="n">
        <f aca="false">MIN(ABS(F144-$B$142), ABS(F144-180-$B$142), ABS(F144+180-$B$142))</f>
        <v>16.621818182</v>
      </c>
    </row>
    <row r="145" customFormat="false" ht="14.25" hidden="false" customHeight="false" outlineLevel="0" collapsed="false">
      <c r="F145" s="1" t="n">
        <v>-77.727272727</v>
      </c>
      <c r="G145" s="1" t="n">
        <v>0.024092384</v>
      </c>
      <c r="H145" s="34" t="n">
        <v>0.012899109</v>
      </c>
      <c r="K145" s="15" t="n">
        <f aca="false">MIN(ABS(F145-$B$142), ABS(F145-180-$B$142), ABS(F145+180-$B$142))</f>
        <v>20.712727273</v>
      </c>
      <c r="L145" s="1" t="n">
        <f aca="false">C142/L142</f>
        <v>0.364815264791033</v>
      </c>
    </row>
    <row r="146" customFormat="false" ht="14.25" hidden="false" customHeight="false" outlineLevel="0" collapsed="false">
      <c r="F146" s="1" t="n">
        <v>-73.636363636</v>
      </c>
      <c r="G146" s="1" t="n">
        <v>0.01744446</v>
      </c>
      <c r="H146" s="34" t="n">
        <v>0.012899109</v>
      </c>
      <c r="K146" s="15" t="n">
        <f aca="false">MIN(ABS(F146-$B$142), ABS(F146-180-$B$142), ABS(F146+180-$B$142))</f>
        <v>24.803636364</v>
      </c>
    </row>
    <row r="147" customFormat="false" ht="14.25" hidden="false" customHeight="false" outlineLevel="0" collapsed="false">
      <c r="F147" s="1" t="n">
        <v>-69.545454545</v>
      </c>
      <c r="G147" s="1" t="n">
        <v>0.012974079</v>
      </c>
      <c r="H147" s="34" t="n">
        <v>0.012899109</v>
      </c>
      <c r="K147" s="15" t="n">
        <f aca="false">MIN(ABS(F147-$B$142), ABS(F147-180-$B$142), ABS(F147+180-$B$142))</f>
        <v>28.894545455</v>
      </c>
    </row>
    <row r="148" customFormat="false" ht="14.25" hidden="false" customHeight="false" outlineLevel="0" collapsed="false">
      <c r="F148" s="1" t="n">
        <v>-65.454545455</v>
      </c>
      <c r="G148" s="1" t="n">
        <v>0.010385437</v>
      </c>
      <c r="H148" s="34" t="n">
        <v>0.012899109</v>
      </c>
      <c r="K148" s="15" t="n">
        <f aca="false">MIN(ABS(F148-$B$142), ABS(F148-180-$B$142), ABS(F148+180-$B$142))</f>
        <v>32.985454545</v>
      </c>
    </row>
    <row r="149" customFormat="false" ht="14.25" hidden="false" customHeight="false" outlineLevel="0" collapsed="false">
      <c r="F149" s="1" t="n">
        <v>-61.363636364</v>
      </c>
      <c r="G149" s="1" t="n">
        <v>0.008722236</v>
      </c>
      <c r="H149" s="34" t="n">
        <v>0.012899109</v>
      </c>
      <c r="K149" s="15" t="n">
        <f aca="false">MIN(ABS(F149-$B$142), ABS(F149-180-$B$142), ABS(F149+180-$B$142))</f>
        <v>37.076363636</v>
      </c>
    </row>
    <row r="150" customFormat="false" ht="14.25" hidden="false" customHeight="false" outlineLevel="0" collapsed="false">
      <c r="F150" s="1" t="n">
        <v>-57.272727273</v>
      </c>
      <c r="G150" s="1" t="n">
        <v>0.00832519</v>
      </c>
      <c r="H150" s="34" t="n">
        <v>0.012899109</v>
      </c>
      <c r="K150" s="15" t="n">
        <f aca="false">MIN(ABS(F150-$B$142), ABS(F150-180-$B$142), ABS(F150+180-$B$142))</f>
        <v>41.167272727</v>
      </c>
    </row>
    <row r="151" customFormat="false" ht="14.25" hidden="false" customHeight="false" outlineLevel="0" collapsed="false">
      <c r="F151" s="1" t="n">
        <v>-53.181818182</v>
      </c>
      <c r="G151" s="1" t="n">
        <v>0.007776372</v>
      </c>
      <c r="H151" s="34" t="n">
        <v>0.012899109</v>
      </c>
      <c r="K151" s="15" t="n">
        <f aca="false">MIN(ABS(F151-$B$142), ABS(F151-180-$B$142), ABS(F151+180-$B$142))</f>
        <v>45.258181818</v>
      </c>
    </row>
    <row r="152" customFormat="false" ht="14.25" hidden="false" customHeight="false" outlineLevel="0" collapsed="false">
      <c r="F152" s="1" t="n">
        <v>-49.090909091</v>
      </c>
      <c r="G152" s="1" t="n">
        <v>0.007130723</v>
      </c>
      <c r="H152" s="34" t="n">
        <v>0.012899109</v>
      </c>
      <c r="K152" s="15" t="n">
        <f aca="false">MIN(ABS(F152-$B$142), ABS(F152-180-$B$142), ABS(F152+180-$B$142))</f>
        <v>49.349090909</v>
      </c>
    </row>
    <row r="153" customFormat="false" ht="14.25" hidden="false" customHeight="false" outlineLevel="0" collapsed="false">
      <c r="F153" s="1" t="n">
        <v>-45</v>
      </c>
      <c r="G153" s="1" t="n">
        <v>0.006768568</v>
      </c>
      <c r="H153" s="34" t="n">
        <v>0.012899109</v>
      </c>
      <c r="K153" s="15" t="n">
        <f aca="false">MIN(ABS(F153-$B$142), ABS(F153-180-$B$142), ABS(F153+180-$B$142))</f>
        <v>53.44</v>
      </c>
    </row>
    <row r="154" customFormat="false" ht="14.25" hidden="false" customHeight="false" outlineLevel="0" collapsed="false">
      <c r="F154" s="1" t="n">
        <v>-40.909090909</v>
      </c>
      <c r="G154" s="1" t="n">
        <v>0.006724176</v>
      </c>
      <c r="H154" s="34" t="n">
        <v>0.012899109</v>
      </c>
      <c r="K154" s="15" t="n">
        <f aca="false">MIN(ABS(F154-$B$142), ABS(F154-180-$B$142), ABS(F154+180-$B$142))</f>
        <v>57.530909091</v>
      </c>
    </row>
    <row r="155" customFormat="false" ht="14.25" hidden="false" customHeight="false" outlineLevel="0" collapsed="false">
      <c r="F155" s="1" t="n">
        <v>-36.818181818</v>
      </c>
      <c r="G155" s="1" t="n">
        <v>0.006709351</v>
      </c>
      <c r="H155" s="34" t="n">
        <v>0.012899109</v>
      </c>
      <c r="K155" s="15" t="n">
        <f aca="false">MIN(ABS(F155-$B$142), ABS(F155-180-$B$142), ABS(F155+180-$B$142))</f>
        <v>61.621818182</v>
      </c>
    </row>
    <row r="156" customFormat="false" ht="14.25" hidden="false" customHeight="false" outlineLevel="0" collapsed="false">
      <c r="F156" s="1" t="n">
        <v>-32.727272727</v>
      </c>
      <c r="G156" s="1" t="n">
        <v>0.006573561</v>
      </c>
      <c r="H156" s="34" t="n">
        <v>0.012899109</v>
      </c>
      <c r="K156" s="15" t="n">
        <f aca="false">MIN(ABS(F156-$B$142), ABS(F156-180-$B$142), ABS(F156+180-$B$142))</f>
        <v>65.712727273</v>
      </c>
    </row>
    <row r="157" customFormat="false" ht="14.25" hidden="false" customHeight="false" outlineLevel="0" collapsed="false">
      <c r="F157" s="1" t="n">
        <v>-28.636363636</v>
      </c>
      <c r="G157" s="1" t="n">
        <v>0.006563483</v>
      </c>
      <c r="H157" s="34" t="n">
        <v>0.012899109</v>
      </c>
      <c r="K157" s="15" t="n">
        <f aca="false">MIN(ABS(F157-$B$142), ABS(F157-180-$B$142), ABS(F157+180-$B$142))</f>
        <v>69.803636364</v>
      </c>
    </row>
    <row r="158" customFormat="false" ht="14.25" hidden="false" customHeight="false" outlineLevel="0" collapsed="false">
      <c r="F158" s="1" t="n">
        <v>-24.545454545</v>
      </c>
      <c r="G158" s="1" t="n">
        <v>0.00680191</v>
      </c>
      <c r="H158" s="34" t="n">
        <v>0.012899109</v>
      </c>
      <c r="K158" s="15" t="n">
        <f aca="false">MIN(ABS(F158-$B$142), ABS(F158-180-$B$142), ABS(F158+180-$B$142))</f>
        <v>73.894545455</v>
      </c>
    </row>
    <row r="159" customFormat="false" ht="14.25" hidden="false" customHeight="false" outlineLevel="0" collapsed="false">
      <c r="F159" s="1" t="n">
        <v>-20.454545455</v>
      </c>
      <c r="G159" s="1" t="n">
        <v>0.006799661</v>
      </c>
      <c r="H159" s="34" t="n">
        <v>0.012899109</v>
      </c>
      <c r="K159" s="15" t="n">
        <f aca="false">MIN(ABS(F159-$B$142), ABS(F159-180-$B$142), ABS(F159+180-$B$142))</f>
        <v>77.985454545</v>
      </c>
    </row>
    <row r="160" customFormat="false" ht="14.25" hidden="false" customHeight="false" outlineLevel="0" collapsed="false">
      <c r="F160" s="1" t="n">
        <v>-16.363636364</v>
      </c>
      <c r="G160" s="1" t="n">
        <v>0.006586709</v>
      </c>
      <c r="H160" s="34" t="n">
        <v>0.012899109</v>
      </c>
      <c r="K160" s="15" t="n">
        <f aca="false">MIN(ABS(F160-$B$142), ABS(F160-180-$B$142), ABS(F160+180-$B$142))</f>
        <v>82.076363636</v>
      </c>
    </row>
    <row r="161" customFormat="false" ht="14.25" hidden="false" customHeight="false" outlineLevel="0" collapsed="false">
      <c r="F161" s="1" t="n">
        <v>-12.272727273</v>
      </c>
      <c r="G161" s="1" t="n">
        <v>0.006637448</v>
      </c>
      <c r="H161" s="34" t="n">
        <v>0.012899109</v>
      </c>
      <c r="K161" s="15" t="n">
        <f aca="false">MIN(ABS(F161-$B$142), ABS(F161-180-$B$142), ABS(F161+180-$B$142))</f>
        <v>86.167272727</v>
      </c>
    </row>
    <row r="162" customFormat="false" ht="14.25" hidden="false" customHeight="false" outlineLevel="0" collapsed="false">
      <c r="F162" s="1" t="n">
        <v>-8.181818182</v>
      </c>
      <c r="G162" s="1" t="n">
        <v>0.0068892</v>
      </c>
      <c r="H162" s="34" t="n">
        <v>0.012899109</v>
      </c>
      <c r="K162" s="15" t="n">
        <f aca="false">MIN(ABS(F162-$B$142), ABS(F162-180-$B$142), ABS(F162+180-$B$142))</f>
        <v>89.741818182</v>
      </c>
    </row>
    <row r="163" customFormat="false" ht="14.25" hidden="false" customHeight="false" outlineLevel="0" collapsed="false">
      <c r="F163" s="1" t="n">
        <v>-4.090909091</v>
      </c>
      <c r="G163" s="1" t="n">
        <v>0.006925649</v>
      </c>
      <c r="H163" s="34" t="n">
        <v>0.012899109</v>
      </c>
      <c r="K163" s="15" t="n">
        <f aca="false">MIN(ABS(F163-$B$142), ABS(F163-180-$B$142), ABS(F163+180-$B$142))</f>
        <v>85.650909091</v>
      </c>
    </row>
    <row r="164" customFormat="false" ht="14.25" hidden="false" customHeight="false" outlineLevel="0" collapsed="false">
      <c r="F164" s="1" t="n">
        <v>0</v>
      </c>
      <c r="G164" s="1" t="n">
        <v>0.008206197</v>
      </c>
      <c r="H164" s="34" t="n">
        <v>0.012899109</v>
      </c>
      <c r="K164" s="15" t="n">
        <f aca="false">MIN(ABS(F164-$B$142), ABS(F164-180-$B$142), ABS(F164+180-$B$142))</f>
        <v>81.56</v>
      </c>
    </row>
    <row r="165" customFormat="false" ht="14.25" hidden="false" customHeight="false" outlineLevel="0" collapsed="false">
      <c r="F165" s="1" t="n">
        <v>4.090909091</v>
      </c>
      <c r="G165" s="1" t="n">
        <v>0.00713947</v>
      </c>
      <c r="H165" s="34" t="n">
        <v>0.012899109</v>
      </c>
      <c r="K165" s="15" t="n">
        <f aca="false">MIN(ABS(F165-$B$142), ABS(F165-180-$B$142), ABS(F165+180-$B$142))</f>
        <v>77.469090909</v>
      </c>
    </row>
    <row r="166" customFormat="false" ht="14.25" hidden="false" customHeight="false" outlineLevel="0" collapsed="false">
      <c r="F166" s="1" t="n">
        <v>8.181818182</v>
      </c>
      <c r="G166" s="1" t="n">
        <v>0.007234085</v>
      </c>
      <c r="H166" s="34" t="n">
        <v>0.012899109</v>
      </c>
      <c r="K166" s="15" t="n">
        <f aca="false">MIN(ABS(F166-$B$142), ABS(F166-180-$B$142), ABS(F166+180-$B$142))</f>
        <v>73.378181818</v>
      </c>
    </row>
    <row r="167" customFormat="false" ht="14.25" hidden="false" customHeight="false" outlineLevel="0" collapsed="false">
      <c r="F167" s="1" t="n">
        <v>12.272727273</v>
      </c>
      <c r="G167" s="1" t="n">
        <v>0.007216398</v>
      </c>
      <c r="H167" s="34" t="n">
        <v>0.01289911</v>
      </c>
      <c r="K167" s="15" t="n">
        <f aca="false">MIN(ABS(F167-$B$142), ABS(F167-180-$B$142), ABS(F167+180-$B$142))</f>
        <v>69.287272727</v>
      </c>
    </row>
    <row r="168" customFormat="false" ht="14.25" hidden="false" customHeight="false" outlineLevel="0" collapsed="false">
      <c r="F168" s="1" t="n">
        <v>16.363636364</v>
      </c>
      <c r="G168" s="1" t="n">
        <v>0.007147762</v>
      </c>
      <c r="H168" s="34" t="n">
        <v>0.012899114</v>
      </c>
      <c r="K168" s="15" t="n">
        <f aca="false">MIN(ABS(F168-$B$142), ABS(F168-180-$B$142), ABS(F168+180-$B$142))</f>
        <v>65.196363636</v>
      </c>
    </row>
    <row r="169" customFormat="false" ht="14.25" hidden="false" customHeight="false" outlineLevel="0" collapsed="false">
      <c r="F169" s="1" t="n">
        <v>20.454545455</v>
      </c>
      <c r="G169" s="1" t="n">
        <v>0.007726973</v>
      </c>
      <c r="H169" s="34" t="n">
        <v>0.012899142</v>
      </c>
      <c r="K169" s="15" t="n">
        <f aca="false">MIN(ABS(F169-$B$142), ABS(F169-180-$B$142), ABS(F169+180-$B$142))</f>
        <v>61.105454545</v>
      </c>
    </row>
    <row r="170" customFormat="false" ht="14.25" hidden="false" customHeight="false" outlineLevel="0" collapsed="false">
      <c r="F170" s="1" t="n">
        <v>24.545454545</v>
      </c>
      <c r="G170" s="1" t="n">
        <v>0.007847591</v>
      </c>
      <c r="H170" s="34" t="n">
        <v>0.012899328</v>
      </c>
      <c r="K170" s="15" t="n">
        <f aca="false">MIN(ABS(F170-$B$142), ABS(F170-180-$B$142), ABS(F170+180-$B$142))</f>
        <v>57.014545455</v>
      </c>
    </row>
    <row r="171" customFormat="false" ht="14.25" hidden="false" customHeight="false" outlineLevel="0" collapsed="false">
      <c r="F171" s="1" t="n">
        <v>28.636363636</v>
      </c>
      <c r="G171" s="1" t="n">
        <v>0.008255415</v>
      </c>
      <c r="H171" s="34" t="n">
        <v>0.012900383</v>
      </c>
      <c r="K171" s="15" t="n">
        <f aca="false">MIN(ABS(F171-$B$142), ABS(F171-180-$B$142), ABS(F171+180-$B$142))</f>
        <v>52.923636364</v>
      </c>
    </row>
    <row r="172" customFormat="false" ht="14.25" hidden="false" customHeight="false" outlineLevel="0" collapsed="false">
      <c r="F172" s="1" t="n">
        <v>32.727272727</v>
      </c>
      <c r="G172" s="1" t="n">
        <v>0.008479265</v>
      </c>
      <c r="H172" s="34" t="n">
        <v>0.012905603</v>
      </c>
      <c r="K172" s="15" t="n">
        <f aca="false">MIN(ABS(F172-$B$142), ABS(F172-180-$B$142), ABS(F172+180-$B$142))</f>
        <v>48.832727273</v>
      </c>
    </row>
    <row r="173" customFormat="false" ht="14.25" hidden="false" customHeight="false" outlineLevel="0" collapsed="false">
      <c r="F173" s="1" t="n">
        <v>36.818181818</v>
      </c>
      <c r="G173" s="1" t="n">
        <v>0.008973414</v>
      </c>
      <c r="H173" s="34" t="n">
        <v>0.012928162</v>
      </c>
      <c r="K173" s="15" t="n">
        <f aca="false">MIN(ABS(F173-$B$142), ABS(F173-180-$B$142), ABS(F173+180-$B$142))</f>
        <v>44.741818182</v>
      </c>
    </row>
    <row r="174" customFormat="false" ht="14.25" hidden="false" customHeight="false" outlineLevel="0" collapsed="false">
      <c r="F174" s="1" t="n">
        <v>40.909090909</v>
      </c>
      <c r="G174" s="1" t="n">
        <v>0.008963519</v>
      </c>
      <c r="H174" s="34" t="n">
        <v>0.013013132</v>
      </c>
      <c r="K174" s="15" t="n">
        <f aca="false">MIN(ABS(F174-$B$142), ABS(F174-180-$B$142), ABS(F174+180-$B$142))</f>
        <v>40.650909091</v>
      </c>
    </row>
    <row r="175" customFormat="false" ht="14.25" hidden="false" customHeight="false" outlineLevel="0" collapsed="false">
      <c r="F175" s="1" t="n">
        <v>45</v>
      </c>
      <c r="G175" s="1" t="n">
        <v>0.010109566</v>
      </c>
      <c r="H175" s="34" t="n">
        <v>0.013291667</v>
      </c>
      <c r="K175" s="15" t="n">
        <f aca="false">MIN(ABS(F175-$B$142), ABS(F175-180-$B$142), ABS(F175+180-$B$142))</f>
        <v>36.56</v>
      </c>
    </row>
    <row r="176" customFormat="false" ht="14.25" hidden="false" customHeight="false" outlineLevel="0" collapsed="false">
      <c r="F176" s="1" t="n">
        <v>49.090909091</v>
      </c>
      <c r="G176" s="1" t="n">
        <v>0.011105316</v>
      </c>
      <c r="H176" s="34" t="n">
        <v>0.014084669</v>
      </c>
      <c r="K176" s="15" t="n">
        <f aca="false">MIN(ABS(F176-$B$142), ABS(F176-180-$B$142), ABS(F176+180-$B$142))</f>
        <v>32.469090909</v>
      </c>
    </row>
    <row r="177" customFormat="false" ht="14.25" hidden="false" customHeight="false" outlineLevel="0" collapsed="false">
      <c r="F177" s="1" t="n">
        <v>53.181818182</v>
      </c>
      <c r="G177" s="1" t="n">
        <v>0.014936931</v>
      </c>
      <c r="H177" s="34" t="n">
        <v>0.016040002</v>
      </c>
      <c r="K177" s="15" t="n">
        <f aca="false">MIN(ABS(F177-$B$142), ABS(F177-180-$B$142), ABS(F177+180-$B$142))</f>
        <v>28.378181818</v>
      </c>
    </row>
    <row r="178" customFormat="false" ht="14.25" hidden="false" customHeight="false" outlineLevel="0" collapsed="false">
      <c r="F178" s="1" t="n">
        <v>57.272727273</v>
      </c>
      <c r="G178" s="1" t="n">
        <v>0.022629344</v>
      </c>
      <c r="H178" s="34" t="n">
        <v>0.020198594</v>
      </c>
      <c r="K178" s="15" t="n">
        <f aca="false">MIN(ABS(F178-$B$142), ABS(F178-180-$B$142), ABS(F178+180-$B$142))</f>
        <v>24.287272727</v>
      </c>
    </row>
    <row r="179" customFormat="false" ht="14.25" hidden="false" customHeight="false" outlineLevel="0" collapsed="false">
      <c r="F179" s="1" t="n">
        <v>61.363636364</v>
      </c>
      <c r="G179" s="1" t="n">
        <v>0.026474233</v>
      </c>
      <c r="H179" s="34" t="n">
        <v>0.027780408</v>
      </c>
      <c r="K179" s="15" t="n">
        <f aca="false">MIN(ABS(F179-$B$142), ABS(F179-180-$B$142), ABS(F179+180-$B$142))</f>
        <v>20.196363636</v>
      </c>
    </row>
    <row r="180" customFormat="false" ht="14.25" hidden="false" customHeight="false" outlineLevel="0" collapsed="false">
      <c r="F180" s="1" t="n">
        <v>65.454545455</v>
      </c>
      <c r="G180" s="1" t="n">
        <v>0.04608096</v>
      </c>
      <c r="H180" s="34" t="n">
        <v>0.039512426</v>
      </c>
      <c r="K180" s="15" t="n">
        <f aca="false">MIN(ABS(F180-$B$142), ABS(F180-180-$B$142), ABS(F180+180-$B$142))</f>
        <v>16.105454545</v>
      </c>
    </row>
    <row r="181" customFormat="false" ht="14.25" hidden="false" customHeight="false" outlineLevel="0" collapsed="false">
      <c r="F181" s="1" t="n">
        <v>69.545454545</v>
      </c>
      <c r="G181" s="1" t="n">
        <v>0.054365486</v>
      </c>
      <c r="H181" s="34" t="n">
        <v>0.054650092</v>
      </c>
      <c r="K181" s="15" t="n">
        <f aca="false">MIN(ABS(F181-$B$142), ABS(F181-180-$B$142), ABS(F181+180-$B$142))</f>
        <v>12.014545455</v>
      </c>
    </row>
    <row r="182" customFormat="false" ht="14.25" hidden="false" customHeight="false" outlineLevel="0" collapsed="false">
      <c r="F182" s="1" t="n">
        <v>73.636363636</v>
      </c>
      <c r="G182" s="1" t="n">
        <v>0.057550291</v>
      </c>
      <c r="H182" s="34" t="n">
        <v>0.070356238</v>
      </c>
      <c r="K182" s="15" t="n">
        <f aca="false">MIN(ABS(F182-$B$142), ABS(F182-180-$B$142), ABS(F182+180-$B$142))</f>
        <v>7.923636364</v>
      </c>
    </row>
    <row r="183" customFormat="false" ht="14.25" hidden="false" customHeight="false" outlineLevel="0" collapsed="false">
      <c r="F183" s="1" t="n">
        <v>77.727272727</v>
      </c>
      <c r="G183" s="1" t="n">
        <v>0.091589153</v>
      </c>
      <c r="H183" s="34" t="n">
        <v>0.082262555</v>
      </c>
      <c r="K183" s="15" t="n">
        <f aca="false">MIN(ABS(F183-$B$142), ABS(F183-180-$B$142), ABS(F183+180-$B$142))</f>
        <v>3.832727273</v>
      </c>
    </row>
    <row r="184" s="19" customFormat="true" ht="14.25" hidden="false" customHeight="false" outlineLevel="0" collapsed="false">
      <c r="A184" s="1"/>
      <c r="B184" s="1"/>
      <c r="C184" s="1"/>
      <c r="D184" s="1"/>
      <c r="E184" s="1"/>
      <c r="F184" s="1" t="n">
        <v>81.818181818</v>
      </c>
      <c r="G184" s="1" t="n">
        <v>0.090132693</v>
      </c>
      <c r="H184" s="34" t="n">
        <v>0.086355048</v>
      </c>
      <c r="I184" s="1"/>
      <c r="J184" s="1"/>
      <c r="K184" s="15" t="n">
        <f aca="false">MIN(ABS(F184-$B$142), ABS(F184-180-$B$142), ABS(F184+180-$B$142))</f>
        <v>0.258181817999997</v>
      </c>
      <c r="L184" s="1"/>
      <c r="M184" s="1"/>
    </row>
    <row r="185" customFormat="false" ht="14.25" hidden="false" customHeight="false" outlineLevel="0" collapsed="false">
      <c r="F185" s="1" t="n">
        <v>85.909090909</v>
      </c>
      <c r="G185" s="1" t="n">
        <v>0.074396147</v>
      </c>
      <c r="H185" s="34" t="n">
        <v>0.081138115</v>
      </c>
      <c r="K185" s="15" t="n">
        <f aca="false">MIN(ABS(F185-$B$142), ABS(F185-180-$B$142), ABS(F185+180-$B$142))</f>
        <v>4.349090909</v>
      </c>
    </row>
    <row r="186" customFormat="false" ht="14.25" hidden="false" customHeight="false" outlineLevel="0" collapsed="false">
      <c r="A186" s="19"/>
      <c r="B186" s="19"/>
      <c r="C186" s="19"/>
      <c r="D186" s="19"/>
      <c r="E186" s="19"/>
      <c r="F186" s="19" t="n">
        <v>90</v>
      </c>
      <c r="G186" s="19" t="n">
        <v>0.070649626</v>
      </c>
      <c r="H186" s="35" t="n">
        <v>0.068508481</v>
      </c>
      <c r="I186" s="19"/>
      <c r="J186" s="19"/>
      <c r="K186" s="15" t="n">
        <f aca="false">MIN(ABS(F186-$B$142), ABS(F186-180-$B$142), ABS(F186+180-$B$142))</f>
        <v>8.44</v>
      </c>
      <c r="L186" s="19"/>
      <c r="M186" s="19"/>
    </row>
    <row r="187" customFormat="false" ht="14.25" hidden="false" customHeight="false" outlineLevel="0" collapsed="false">
      <c r="A187" s="14" t="n">
        <v>20241115</v>
      </c>
      <c r="B187" s="14" t="n">
        <v>-92.77</v>
      </c>
      <c r="C187" s="14" t="n">
        <v>10.04</v>
      </c>
      <c r="D187" s="14" t="n">
        <v>0.25</v>
      </c>
      <c r="E187" s="14" t="n">
        <v>0.29</v>
      </c>
      <c r="F187" s="1" t="n">
        <v>-90</v>
      </c>
      <c r="G187" s="1" t="n">
        <v>0.073028028</v>
      </c>
      <c r="H187" s="34" t="n">
        <v>0.071076306</v>
      </c>
      <c r="K187" s="15" t="n">
        <f aca="false">MIN(ABS(F187-$B$187), ABS(F187-180-$B$187), ABS(F187+180-$B$187))</f>
        <v>2.77</v>
      </c>
      <c r="L187" s="16" t="n">
        <f aca="false" t="array" ref="L187:L187">SQRT(SUMPRODUCT(G187:G231,K187:K231*K187:K231))</f>
        <v>36.5313376524026</v>
      </c>
      <c r="M187" s="3" t="n">
        <f aca="false" t="array" ref="M187:M187">SUMPRODUCT(G187:G231,ABS(K187:K231))</f>
        <v>26.4649347911294</v>
      </c>
    </row>
    <row r="188" customFormat="false" ht="14.25" hidden="false" customHeight="false" outlineLevel="0" collapsed="false">
      <c r="F188" s="1" t="n">
        <v>-85.909090909</v>
      </c>
      <c r="G188" s="1" t="n">
        <v>0.056729101</v>
      </c>
      <c r="H188" s="34" t="n">
        <v>0.061777528</v>
      </c>
      <c r="K188" s="15" t="n">
        <f aca="false">MIN(ABS(F188-$B$187), ABS(F188-180-$B$187), ABS(F188+180-$B$187))</f>
        <v>6.860909091</v>
      </c>
    </row>
    <row r="189" customFormat="false" ht="14.25" hidden="false" customHeight="false" outlineLevel="0" collapsed="false">
      <c r="F189" s="1" t="n">
        <v>-81.818181818</v>
      </c>
      <c r="G189" s="1" t="n">
        <v>0.051190829</v>
      </c>
      <c r="H189" s="34" t="n">
        <v>0.048712455</v>
      </c>
      <c r="K189" s="15" t="n">
        <f aca="false">MIN(ABS(F189-$B$187), ABS(F189-180-$B$187), ABS(F189+180-$B$187))</f>
        <v>10.951818182</v>
      </c>
    </row>
    <row r="190" customFormat="false" ht="14.25" hidden="false" customHeight="false" outlineLevel="0" collapsed="false">
      <c r="F190" s="1" t="n">
        <v>-77.727272727</v>
      </c>
      <c r="G190" s="1" t="n">
        <v>0.040566425</v>
      </c>
      <c r="H190" s="34" t="n">
        <v>0.036415391</v>
      </c>
      <c r="K190" s="15" t="n">
        <f aca="false">MIN(ABS(F190-$B$187), ABS(F190-180-$B$187), ABS(F190+180-$B$187))</f>
        <v>15.042727273</v>
      </c>
    </row>
    <row r="191" customFormat="false" ht="14.25" hidden="false" customHeight="false" outlineLevel="0" collapsed="false">
      <c r="F191" s="1" t="n">
        <v>-73.636363636</v>
      </c>
      <c r="G191" s="1" t="n">
        <v>0.025178847</v>
      </c>
      <c r="H191" s="34" t="n">
        <v>0.027563017</v>
      </c>
      <c r="K191" s="15" t="n">
        <f aca="false">MIN(ABS(F191-$B$187), ABS(F191-180-$B$187), ABS(F191+180-$B$187))</f>
        <v>19.133636364</v>
      </c>
      <c r="L191" s="1" t="n">
        <f aca="false">C187/L187</f>
        <v>0.274832531333264</v>
      </c>
    </row>
    <row r="192" customFormat="false" ht="14.25" hidden="false" customHeight="false" outlineLevel="0" collapsed="false">
      <c r="F192" s="1" t="n">
        <v>-69.545454545</v>
      </c>
      <c r="G192" s="1" t="n">
        <v>0.021174627</v>
      </c>
      <c r="H192" s="34" t="n">
        <v>0.022463299</v>
      </c>
      <c r="K192" s="15" t="n">
        <f aca="false">MIN(ABS(F192-$B$187), ABS(F192-180-$B$187), ABS(F192+180-$B$187))</f>
        <v>23.224545455</v>
      </c>
    </row>
    <row r="193" customFormat="false" ht="14.25" hidden="false" customHeight="false" outlineLevel="0" collapsed="false">
      <c r="F193" s="1" t="n">
        <v>-65.454545455</v>
      </c>
      <c r="G193" s="1" t="n">
        <v>0.016813526</v>
      </c>
      <c r="H193" s="34" t="n">
        <v>0.020062453</v>
      </c>
      <c r="K193" s="15" t="n">
        <f aca="false">MIN(ABS(F193-$B$187), ABS(F193-180-$B$187), ABS(F193+180-$B$187))</f>
        <v>27.315454545</v>
      </c>
    </row>
    <row r="194" customFormat="false" ht="14.25" hidden="false" customHeight="false" outlineLevel="0" collapsed="false">
      <c r="F194" s="1" t="n">
        <v>-61.363636364</v>
      </c>
      <c r="G194" s="1" t="n">
        <v>0.014883941</v>
      </c>
      <c r="H194" s="34" t="n">
        <v>0.019128169</v>
      </c>
      <c r="K194" s="15" t="n">
        <f aca="false">MIN(ABS(F194-$B$187), ABS(F194-180-$B$187), ABS(F194+180-$B$187))</f>
        <v>31.406363636</v>
      </c>
    </row>
    <row r="195" customFormat="false" ht="14.25" hidden="false" customHeight="false" outlineLevel="0" collapsed="false">
      <c r="F195" s="1" t="n">
        <v>-57.272727273</v>
      </c>
      <c r="G195" s="1" t="n">
        <v>0.014348386</v>
      </c>
      <c r="H195" s="34" t="n">
        <v>0.018825553</v>
      </c>
      <c r="K195" s="15" t="n">
        <f aca="false">MIN(ABS(F195-$B$187), ABS(F195-180-$B$187), ABS(F195+180-$B$187))</f>
        <v>35.497272727</v>
      </c>
    </row>
    <row r="196" customFormat="false" ht="14.25" hidden="false" customHeight="false" outlineLevel="0" collapsed="false">
      <c r="F196" s="1" t="n">
        <v>-53.181818182</v>
      </c>
      <c r="G196" s="1" t="n">
        <v>0.014273829</v>
      </c>
      <c r="H196" s="34" t="n">
        <v>0.018743602</v>
      </c>
      <c r="K196" s="15" t="n">
        <f aca="false">MIN(ABS(F196-$B$187), ABS(F196-180-$B$187), ABS(F196+180-$B$187))</f>
        <v>39.588181818</v>
      </c>
    </row>
    <row r="197" customFormat="false" ht="14.25" hidden="false" customHeight="false" outlineLevel="0" collapsed="false">
      <c r="F197" s="1" t="n">
        <v>-49.090909091</v>
      </c>
      <c r="G197" s="1" t="n">
        <v>0.012250997</v>
      </c>
      <c r="H197" s="34" t="n">
        <v>0.01872499</v>
      </c>
      <c r="K197" s="15" t="n">
        <f aca="false">MIN(ABS(F197-$B$187), ABS(F197-180-$B$187), ABS(F197+180-$B$187))</f>
        <v>43.679090909</v>
      </c>
    </row>
    <row r="198" customFormat="false" ht="14.25" hidden="false" customHeight="false" outlineLevel="0" collapsed="false">
      <c r="F198" s="1" t="n">
        <v>-45</v>
      </c>
      <c r="G198" s="1" t="n">
        <v>0.011724748</v>
      </c>
      <c r="H198" s="34" t="n">
        <v>0.018721437</v>
      </c>
      <c r="K198" s="15" t="n">
        <f aca="false">MIN(ABS(F198-$B$187), ABS(F198-180-$B$187), ABS(F198+180-$B$187))</f>
        <v>47.77</v>
      </c>
    </row>
    <row r="199" customFormat="false" ht="14.25" hidden="false" customHeight="false" outlineLevel="0" collapsed="false">
      <c r="F199" s="1" t="n">
        <v>-40.909090909</v>
      </c>
      <c r="G199" s="1" t="n">
        <v>0.010618513</v>
      </c>
      <c r="H199" s="34" t="n">
        <v>0.018720866</v>
      </c>
      <c r="K199" s="15" t="n">
        <f aca="false">MIN(ABS(F199-$B$187), ABS(F199-180-$B$187), ABS(F199+180-$B$187))</f>
        <v>51.860909091</v>
      </c>
    </row>
    <row r="200" customFormat="false" ht="14.25" hidden="false" customHeight="false" outlineLevel="0" collapsed="false">
      <c r="F200" s="1" t="n">
        <v>-36.818181818</v>
      </c>
      <c r="G200" s="1" t="n">
        <v>0.011356154</v>
      </c>
      <c r="H200" s="34" t="n">
        <v>0.018720789</v>
      </c>
      <c r="K200" s="15" t="n">
        <f aca="false">MIN(ABS(F200-$B$187), ABS(F200-180-$B$187), ABS(F200+180-$B$187))</f>
        <v>55.951818182</v>
      </c>
    </row>
    <row r="201" customFormat="false" ht="14.25" hidden="false" customHeight="false" outlineLevel="0" collapsed="false">
      <c r="F201" s="1" t="n">
        <v>-32.727272727</v>
      </c>
      <c r="G201" s="1" t="n">
        <v>0.01035954</v>
      </c>
      <c r="H201" s="34" t="n">
        <v>0.01872078</v>
      </c>
      <c r="K201" s="15" t="n">
        <f aca="false">MIN(ABS(F201-$B$187), ABS(F201-180-$B$187), ABS(F201+180-$B$187))</f>
        <v>60.042727273</v>
      </c>
    </row>
    <row r="202" customFormat="false" ht="14.25" hidden="false" customHeight="false" outlineLevel="0" collapsed="false">
      <c r="F202" s="1" t="n">
        <v>-28.636363636</v>
      </c>
      <c r="G202" s="1" t="n">
        <v>0.009657449</v>
      </c>
      <c r="H202" s="34" t="n">
        <v>0.018720779</v>
      </c>
      <c r="K202" s="15" t="n">
        <f aca="false">MIN(ABS(F202-$B$187), ABS(F202-180-$B$187), ABS(F202+180-$B$187))</f>
        <v>64.133636364</v>
      </c>
    </row>
    <row r="203" customFormat="false" ht="14.25" hidden="false" customHeight="false" outlineLevel="0" collapsed="false">
      <c r="F203" s="1" t="n">
        <v>-24.545454545</v>
      </c>
      <c r="G203" s="1" t="n">
        <v>0.009522695</v>
      </c>
      <c r="H203" s="34" t="n">
        <v>0.018720779</v>
      </c>
      <c r="K203" s="15" t="n">
        <f aca="false">MIN(ABS(F203-$B$187), ABS(F203-180-$B$187), ABS(F203+180-$B$187))</f>
        <v>68.224545455</v>
      </c>
    </row>
    <row r="204" customFormat="false" ht="14.25" hidden="false" customHeight="false" outlineLevel="0" collapsed="false">
      <c r="F204" s="1" t="n">
        <v>-20.454545455</v>
      </c>
      <c r="G204" s="1" t="n">
        <v>0.01037762</v>
      </c>
      <c r="H204" s="34" t="n">
        <v>0.018720779</v>
      </c>
      <c r="K204" s="15" t="n">
        <f aca="false">MIN(ABS(F204-$B$187), ABS(F204-180-$B$187), ABS(F204+180-$B$187))</f>
        <v>72.315454545</v>
      </c>
    </row>
    <row r="205" customFormat="false" ht="14.25" hidden="false" customHeight="false" outlineLevel="0" collapsed="false">
      <c r="F205" s="1" t="n">
        <v>-16.363636364</v>
      </c>
      <c r="G205" s="1" t="n">
        <v>0.009712224</v>
      </c>
      <c r="H205" s="34" t="n">
        <v>0.018720779</v>
      </c>
      <c r="K205" s="15" t="n">
        <f aca="false">MIN(ABS(F205-$B$187), ABS(F205-180-$B$187), ABS(F205+180-$B$187))</f>
        <v>76.406363636</v>
      </c>
    </row>
    <row r="206" customFormat="false" ht="14.25" hidden="false" customHeight="false" outlineLevel="0" collapsed="false">
      <c r="F206" s="1" t="n">
        <v>-12.272727273</v>
      </c>
      <c r="G206" s="1" t="n">
        <v>0.010293586</v>
      </c>
      <c r="H206" s="34" t="n">
        <v>0.018720779</v>
      </c>
      <c r="K206" s="15" t="n">
        <f aca="false">MIN(ABS(F206-$B$187), ABS(F206-180-$B$187), ABS(F206+180-$B$187))</f>
        <v>80.497272727</v>
      </c>
    </row>
    <row r="207" customFormat="false" ht="14.25" hidden="false" customHeight="false" outlineLevel="0" collapsed="false">
      <c r="F207" s="1" t="n">
        <v>-8.181818182</v>
      </c>
      <c r="G207" s="1" t="n">
        <v>0.010068041</v>
      </c>
      <c r="H207" s="34" t="n">
        <v>0.018720779</v>
      </c>
      <c r="K207" s="15" t="n">
        <f aca="false">MIN(ABS(F207-$B$187), ABS(F207-180-$B$187), ABS(F207+180-$B$187))</f>
        <v>84.588181818</v>
      </c>
    </row>
    <row r="208" customFormat="false" ht="14.25" hidden="false" customHeight="false" outlineLevel="0" collapsed="false">
      <c r="F208" s="1" t="n">
        <v>-4.090909091</v>
      </c>
      <c r="G208" s="1" t="n">
        <v>0.009486835</v>
      </c>
      <c r="H208" s="34" t="n">
        <v>0.018720779</v>
      </c>
      <c r="K208" s="15" t="n">
        <f aca="false">MIN(ABS(F208-$B$187), ABS(F208-180-$B$187), ABS(F208+180-$B$187))</f>
        <v>88.679090909</v>
      </c>
    </row>
    <row r="209" customFormat="false" ht="14.25" hidden="false" customHeight="false" outlineLevel="0" collapsed="false">
      <c r="F209" s="1" t="n">
        <v>0</v>
      </c>
      <c r="G209" s="1" t="n">
        <v>0.012853899</v>
      </c>
      <c r="H209" s="34" t="n">
        <v>0.018720779</v>
      </c>
      <c r="K209" s="15" t="n">
        <f aca="false">MIN(ABS(F209-$B$187), ABS(F209-180-$B$187), ABS(F209+180-$B$187))</f>
        <v>87.23</v>
      </c>
    </row>
    <row r="210" customFormat="false" ht="14.25" hidden="false" customHeight="false" outlineLevel="0" collapsed="false">
      <c r="F210" s="1" t="n">
        <v>4.090909091</v>
      </c>
      <c r="G210" s="1" t="n">
        <v>0.00953412</v>
      </c>
      <c r="H210" s="34" t="n">
        <v>0.018720779</v>
      </c>
      <c r="K210" s="15" t="n">
        <f aca="false">MIN(ABS(F210-$B$187), ABS(F210-180-$B$187), ABS(F210+180-$B$187))</f>
        <v>83.139090909</v>
      </c>
    </row>
    <row r="211" customFormat="false" ht="14.25" hidden="false" customHeight="false" outlineLevel="0" collapsed="false">
      <c r="F211" s="1" t="n">
        <v>8.181818182</v>
      </c>
      <c r="G211" s="1" t="n">
        <v>0.009762039</v>
      </c>
      <c r="H211" s="34" t="n">
        <v>0.018720779</v>
      </c>
      <c r="K211" s="15" t="n">
        <f aca="false">MIN(ABS(F211-$B$187), ABS(F211-180-$B$187), ABS(F211+180-$B$187))</f>
        <v>79.048181818</v>
      </c>
    </row>
    <row r="212" customFormat="false" ht="14.25" hidden="false" customHeight="false" outlineLevel="0" collapsed="false">
      <c r="F212" s="1" t="n">
        <v>12.272727273</v>
      </c>
      <c r="G212" s="1" t="n">
        <v>0.010247906</v>
      </c>
      <c r="H212" s="34" t="n">
        <v>0.018720779</v>
      </c>
      <c r="K212" s="15" t="n">
        <f aca="false">MIN(ABS(F212-$B$187), ABS(F212-180-$B$187), ABS(F212+180-$B$187))</f>
        <v>74.957272727</v>
      </c>
    </row>
    <row r="213" customFormat="false" ht="14.25" hidden="false" customHeight="false" outlineLevel="0" collapsed="false">
      <c r="F213" s="1" t="n">
        <v>16.363636364</v>
      </c>
      <c r="G213" s="1" t="n">
        <v>0.009356509</v>
      </c>
      <c r="H213" s="34" t="n">
        <v>0.018720779</v>
      </c>
      <c r="K213" s="15" t="n">
        <f aca="false">MIN(ABS(F213-$B$187), ABS(F213-180-$B$187), ABS(F213+180-$B$187))</f>
        <v>70.866363636</v>
      </c>
    </row>
    <row r="214" customFormat="false" ht="14.25" hidden="false" customHeight="false" outlineLevel="0" collapsed="false">
      <c r="F214" s="1" t="n">
        <v>20.454545455</v>
      </c>
      <c r="G214" s="1" t="n">
        <v>0.009521217</v>
      </c>
      <c r="H214" s="34" t="n">
        <v>0.018720779</v>
      </c>
      <c r="K214" s="15" t="n">
        <f aca="false">MIN(ABS(F214-$B$187), ABS(F214-180-$B$187), ABS(F214+180-$B$187))</f>
        <v>66.775454545</v>
      </c>
    </row>
    <row r="215" customFormat="false" ht="14.25" hidden="false" customHeight="false" outlineLevel="0" collapsed="false">
      <c r="F215" s="1" t="n">
        <v>24.545454545</v>
      </c>
      <c r="G215" s="1" t="n">
        <v>0.009303952</v>
      </c>
      <c r="H215" s="34" t="n">
        <v>0.018720779</v>
      </c>
      <c r="K215" s="15" t="n">
        <f aca="false">MIN(ABS(F215-$B$187), ABS(F215-180-$B$187), ABS(F215+180-$B$187))</f>
        <v>62.684545455</v>
      </c>
    </row>
    <row r="216" customFormat="false" ht="14.25" hidden="false" customHeight="false" outlineLevel="0" collapsed="false">
      <c r="F216" s="1" t="n">
        <v>28.636363636</v>
      </c>
      <c r="G216" s="1" t="n">
        <v>0.010488406</v>
      </c>
      <c r="H216" s="34" t="n">
        <v>0.018720779</v>
      </c>
      <c r="K216" s="15" t="n">
        <f aca="false">MIN(ABS(F216-$B$187), ABS(F216-180-$B$187), ABS(F216+180-$B$187))</f>
        <v>58.593636364</v>
      </c>
    </row>
    <row r="217" customFormat="false" ht="14.25" hidden="false" customHeight="false" outlineLevel="0" collapsed="false">
      <c r="F217" s="1" t="n">
        <v>32.727272727</v>
      </c>
      <c r="G217" s="1" t="n">
        <v>0.010788233</v>
      </c>
      <c r="H217" s="34" t="n">
        <v>0.018720779</v>
      </c>
      <c r="K217" s="15" t="n">
        <f aca="false">MIN(ABS(F217-$B$187), ABS(F217-180-$B$187), ABS(F217+180-$B$187))</f>
        <v>54.502727273</v>
      </c>
    </row>
    <row r="218" customFormat="false" ht="14.25" hidden="false" customHeight="false" outlineLevel="0" collapsed="false">
      <c r="F218" s="1" t="n">
        <v>36.818181818</v>
      </c>
      <c r="G218" s="1" t="n">
        <v>0.011613777</v>
      </c>
      <c r="H218" s="34" t="n">
        <v>0.018720779</v>
      </c>
      <c r="K218" s="15" t="n">
        <f aca="false">MIN(ABS(F218-$B$187), ABS(F218-180-$B$187), ABS(F218+180-$B$187))</f>
        <v>50.411818182</v>
      </c>
    </row>
    <row r="219" customFormat="false" ht="14.25" hidden="false" customHeight="false" outlineLevel="0" collapsed="false">
      <c r="F219" s="1" t="n">
        <v>40.909090909</v>
      </c>
      <c r="G219" s="1" t="n">
        <v>0.01193182</v>
      </c>
      <c r="H219" s="34" t="n">
        <v>0.018720779</v>
      </c>
      <c r="K219" s="15" t="n">
        <f aca="false">MIN(ABS(F219-$B$187), ABS(F219-180-$B$187), ABS(F219+180-$B$187))</f>
        <v>46.320909091</v>
      </c>
    </row>
    <row r="220" customFormat="false" ht="14.25" hidden="false" customHeight="false" outlineLevel="0" collapsed="false">
      <c r="F220" s="1" t="n">
        <v>45</v>
      </c>
      <c r="G220" s="1" t="n">
        <v>0.012950784</v>
      </c>
      <c r="H220" s="34" t="n">
        <v>0.018720779</v>
      </c>
      <c r="K220" s="15" t="n">
        <f aca="false">MIN(ABS(F220-$B$187), ABS(F220-180-$B$187), ABS(F220+180-$B$187))</f>
        <v>42.23</v>
      </c>
    </row>
    <row r="221" customFormat="false" ht="14.25" hidden="false" customHeight="false" outlineLevel="0" collapsed="false">
      <c r="F221" s="1" t="n">
        <v>49.090909091</v>
      </c>
      <c r="G221" s="1" t="n">
        <v>0.0126982</v>
      </c>
      <c r="H221" s="34" t="n">
        <v>0.018720779</v>
      </c>
      <c r="K221" s="15" t="n">
        <f aca="false">MIN(ABS(F221-$B$187), ABS(F221-180-$B$187), ABS(F221+180-$B$187))</f>
        <v>38.139090909</v>
      </c>
    </row>
    <row r="222" customFormat="false" ht="14.25" hidden="false" customHeight="false" outlineLevel="0" collapsed="false">
      <c r="F222" s="1" t="n">
        <v>53.181818182</v>
      </c>
      <c r="G222" s="1" t="n">
        <v>0.015883889</v>
      </c>
      <c r="H222" s="34" t="n">
        <v>0.018720779</v>
      </c>
      <c r="K222" s="15" t="n">
        <f aca="false">MIN(ABS(F222-$B$187), ABS(F222-180-$B$187), ABS(F222+180-$B$187))</f>
        <v>34.048181818</v>
      </c>
    </row>
    <row r="223" customFormat="false" ht="14.25" hidden="false" customHeight="false" outlineLevel="0" collapsed="false">
      <c r="F223" s="1" t="n">
        <v>57.272727273</v>
      </c>
      <c r="G223" s="1" t="n">
        <v>0.019239607</v>
      </c>
      <c r="H223" s="34" t="n">
        <v>0.018720779</v>
      </c>
      <c r="K223" s="15" t="n">
        <f aca="false">MIN(ABS(F223-$B$187), ABS(F223-180-$B$187), ABS(F223+180-$B$187))</f>
        <v>29.957272727</v>
      </c>
    </row>
    <row r="224" customFormat="false" ht="14.25" hidden="false" customHeight="false" outlineLevel="0" collapsed="false">
      <c r="F224" s="1" t="n">
        <v>61.363636364</v>
      </c>
      <c r="G224" s="1" t="n">
        <v>0.026302209</v>
      </c>
      <c r="H224" s="34" t="n">
        <v>0.018720779</v>
      </c>
      <c r="K224" s="15" t="n">
        <f aca="false">MIN(ABS(F224-$B$187), ABS(F224-180-$B$187), ABS(F224+180-$B$187))</f>
        <v>25.866363636</v>
      </c>
    </row>
    <row r="225" customFormat="false" ht="14.25" hidden="false" customHeight="false" outlineLevel="0" collapsed="false">
      <c r="F225" s="1" t="n">
        <v>65.454545455</v>
      </c>
      <c r="G225" s="1" t="n">
        <v>0.028711506</v>
      </c>
      <c r="H225" s="34" t="n">
        <v>0.018720779</v>
      </c>
      <c r="K225" s="15" t="n">
        <f aca="false">MIN(ABS(F225-$B$187), ABS(F225-180-$B$187), ABS(F225+180-$B$187))</f>
        <v>21.775454545</v>
      </c>
    </row>
    <row r="226" customFormat="false" ht="14.25" hidden="false" customHeight="false" outlineLevel="0" collapsed="false">
      <c r="F226" s="1" t="n">
        <v>69.545454545</v>
      </c>
      <c r="G226" s="1" t="n">
        <v>0.036995603</v>
      </c>
      <c r="H226" s="34" t="n">
        <v>0.018720779</v>
      </c>
      <c r="K226" s="15" t="n">
        <f aca="false">MIN(ABS(F226-$B$187), ABS(F226-180-$B$187), ABS(F226+180-$B$187))</f>
        <v>17.684545455</v>
      </c>
    </row>
    <row r="227" customFormat="false" ht="14.25" hidden="false" customHeight="false" outlineLevel="0" collapsed="false">
      <c r="F227" s="1" t="n">
        <v>73.636363636</v>
      </c>
      <c r="G227" s="1" t="n">
        <v>0.046023017</v>
      </c>
      <c r="H227" s="34" t="n">
        <v>0.018720779</v>
      </c>
      <c r="K227" s="15" t="n">
        <f aca="false">MIN(ABS(F227-$B$187), ABS(F227-180-$B$187), ABS(F227+180-$B$187))</f>
        <v>13.593636364</v>
      </c>
    </row>
    <row r="228" customFormat="false" ht="14.25" hidden="false" customHeight="false" outlineLevel="0" collapsed="false">
      <c r="F228" s="1" t="n">
        <v>77.727272727</v>
      </c>
      <c r="G228" s="1" t="n">
        <v>0.06148271</v>
      </c>
      <c r="H228" s="34" t="n">
        <v>0.018720779</v>
      </c>
      <c r="K228" s="15" t="n">
        <f aca="false">MIN(ABS(F228-$B$187), ABS(F228-180-$B$187), ABS(F228+180-$B$187))</f>
        <v>9.50272727300001</v>
      </c>
    </row>
    <row r="229" s="19" customFormat="true" ht="14.25" hidden="false" customHeight="false" outlineLevel="0" collapsed="false">
      <c r="A229" s="1"/>
      <c r="B229" s="1"/>
      <c r="C229" s="1"/>
      <c r="D229" s="1"/>
      <c r="E229" s="1"/>
      <c r="F229" s="1" t="n">
        <v>81.818181818</v>
      </c>
      <c r="G229" s="1" t="n">
        <v>0.052712258</v>
      </c>
      <c r="H229" s="34" t="n">
        <v>0.018720779</v>
      </c>
      <c r="I229" s="1"/>
      <c r="J229" s="1"/>
      <c r="K229" s="15" t="n">
        <f aca="false">MIN(ABS(F229-$B$187), ABS(F229-180-$B$187), ABS(F229+180-$B$187))</f>
        <v>5.41181818200001</v>
      </c>
      <c r="L229" s="1"/>
      <c r="M229" s="1"/>
    </row>
    <row r="230" customFormat="false" ht="14.25" hidden="false" customHeight="false" outlineLevel="0" collapsed="false">
      <c r="F230" s="1" t="n">
        <v>85.909090909</v>
      </c>
      <c r="G230" s="1" t="n">
        <v>0.044954368</v>
      </c>
      <c r="H230" s="34" t="n">
        <v>0.018720779</v>
      </c>
      <c r="K230" s="15" t="n">
        <f aca="false">MIN(ABS(F230-$B$187), ABS(F230-180-$B$187), ABS(F230+180-$B$187))</f>
        <v>1.320909091</v>
      </c>
    </row>
    <row r="231" customFormat="false" ht="14.25" hidden="false" customHeight="false" outlineLevel="0" collapsed="false">
      <c r="A231" s="19"/>
      <c r="B231" s="19"/>
      <c r="C231" s="19"/>
      <c r="D231" s="19"/>
      <c r="E231" s="19"/>
      <c r="F231" s="19" t="n">
        <v>90</v>
      </c>
      <c r="G231" s="19" t="n">
        <v>0.073028028</v>
      </c>
      <c r="H231" s="35" t="n">
        <v>0.018720779</v>
      </c>
      <c r="I231" s="19"/>
      <c r="J231" s="19"/>
      <c r="K231" s="15" t="n">
        <f aca="false">MIN(ABS(F231-$B$187), ABS(F231-180-$B$187), ABS(F231+180-$B$187))</f>
        <v>2.77</v>
      </c>
      <c r="L231" s="19"/>
      <c r="M231" s="19"/>
    </row>
    <row r="232" customFormat="false" ht="14.25" hidden="false" customHeight="false" outlineLevel="0" collapsed="false">
      <c r="A232" s="14" t="n">
        <v>20241115</v>
      </c>
      <c r="B232" s="14" t="n">
        <v>74.41</v>
      </c>
      <c r="C232" s="14" t="n">
        <v>9.41</v>
      </c>
      <c r="D232" s="14" t="n">
        <v>0.6</v>
      </c>
      <c r="E232" s="14" t="n">
        <v>0.93</v>
      </c>
      <c r="F232" s="1" t="n">
        <v>-90</v>
      </c>
      <c r="G232" s="1" t="n">
        <v>0.034508724</v>
      </c>
      <c r="H232" s="34" t="n">
        <v>0.010712784</v>
      </c>
      <c r="K232" s="15" t="n">
        <f aca="false">MIN(ABS(F232-$B$232), ABS(F232-180-$B$232), ABS(F232+180-$B$232))</f>
        <v>15.59</v>
      </c>
      <c r="L232" s="16" t="n">
        <f aca="false" t="array" ref="L232:L232">SQRT(SUMPRODUCT(G232:G276,K232:K276*K232:K276))</f>
        <v>32.3934317299211</v>
      </c>
      <c r="M232" s="3" t="n">
        <f aca="false" t="array" ref="M232:M232">SUMPRODUCT(G232:G276,ABS(K232:K276))</f>
        <v>22.1862016522572</v>
      </c>
    </row>
    <row r="233" customFormat="false" ht="14.25" hidden="false" customHeight="false" outlineLevel="0" collapsed="false">
      <c r="F233" s="1" t="n">
        <v>-85.909090909</v>
      </c>
      <c r="G233" s="1" t="n">
        <v>0.021638523</v>
      </c>
      <c r="H233" s="34" t="n">
        <v>0.010712784</v>
      </c>
      <c r="K233" s="15" t="n">
        <f aca="false">MIN(ABS(F233-$B$232), ABS(F233-180-$B$232), ABS(F233+180-$B$232))</f>
        <v>19.680909091</v>
      </c>
    </row>
    <row r="234" customFormat="false" ht="14.25" hidden="false" customHeight="false" outlineLevel="0" collapsed="false">
      <c r="F234" s="1" t="n">
        <v>-81.818181818</v>
      </c>
      <c r="G234" s="1" t="n">
        <v>0.020157008</v>
      </c>
      <c r="H234" s="34" t="n">
        <v>0.010712784</v>
      </c>
      <c r="K234" s="15" t="n">
        <f aca="false">MIN(ABS(F234-$B$232), ABS(F234-180-$B$232), ABS(F234+180-$B$232))</f>
        <v>23.771818182</v>
      </c>
    </row>
    <row r="235" customFormat="false" ht="14.25" hidden="false" customHeight="false" outlineLevel="0" collapsed="false">
      <c r="F235" s="1" t="n">
        <v>-77.727272727</v>
      </c>
      <c r="G235" s="1" t="n">
        <v>0.015909947</v>
      </c>
      <c r="H235" s="34" t="n">
        <v>0.010712784</v>
      </c>
      <c r="K235" s="15" t="n">
        <f aca="false">MIN(ABS(F235-$B$232), ABS(F235-180-$B$232), ABS(F235+180-$B$232))</f>
        <v>27.862727273</v>
      </c>
      <c r="L235" s="1" t="n">
        <f aca="false">C232/L232</f>
        <v>0.290490988372442</v>
      </c>
    </row>
    <row r="236" customFormat="false" ht="14.25" hidden="false" customHeight="false" outlineLevel="0" collapsed="false">
      <c r="F236" s="1" t="n">
        <v>-73.636363636</v>
      </c>
      <c r="G236" s="1" t="n">
        <v>0.013073074</v>
      </c>
      <c r="H236" s="34" t="n">
        <v>0.010712784</v>
      </c>
      <c r="K236" s="15" t="n">
        <f aca="false">MIN(ABS(F236-$B$232), ABS(F236-180-$B$232), ABS(F236+180-$B$232))</f>
        <v>31.953636364</v>
      </c>
    </row>
    <row r="237" customFormat="false" ht="14.25" hidden="false" customHeight="false" outlineLevel="0" collapsed="false">
      <c r="F237" s="1" t="n">
        <v>-69.545454545</v>
      </c>
      <c r="G237" s="1" t="n">
        <v>0.011180742</v>
      </c>
      <c r="H237" s="34" t="n">
        <v>0.010712784</v>
      </c>
      <c r="K237" s="15" t="n">
        <f aca="false">MIN(ABS(F237-$B$232), ABS(F237-180-$B$232), ABS(F237+180-$B$232))</f>
        <v>36.044545455</v>
      </c>
    </row>
    <row r="238" customFormat="false" ht="14.25" hidden="false" customHeight="false" outlineLevel="0" collapsed="false">
      <c r="F238" s="1" t="n">
        <v>-65.454545455</v>
      </c>
      <c r="G238" s="1" t="n">
        <v>0.010538065</v>
      </c>
      <c r="H238" s="34" t="n">
        <v>0.010712784</v>
      </c>
      <c r="K238" s="15" t="n">
        <f aca="false">MIN(ABS(F238-$B$232), ABS(F238-180-$B$232), ABS(F238+180-$B$232))</f>
        <v>40.135454545</v>
      </c>
    </row>
    <row r="239" customFormat="false" ht="14.25" hidden="false" customHeight="false" outlineLevel="0" collapsed="false">
      <c r="F239" s="1" t="n">
        <v>-61.363636364</v>
      </c>
      <c r="G239" s="1" t="n">
        <v>0.010041569</v>
      </c>
      <c r="H239" s="34" t="n">
        <v>0.010712784</v>
      </c>
      <c r="K239" s="15" t="n">
        <f aca="false">MIN(ABS(F239-$B$232), ABS(F239-180-$B$232), ABS(F239+180-$B$232))</f>
        <v>44.226363636</v>
      </c>
    </row>
    <row r="240" customFormat="false" ht="14.25" hidden="false" customHeight="false" outlineLevel="0" collapsed="false">
      <c r="F240" s="1" t="n">
        <v>-57.272727273</v>
      </c>
      <c r="G240" s="1" t="n">
        <v>0.008823618</v>
      </c>
      <c r="H240" s="34" t="n">
        <v>0.010712784</v>
      </c>
      <c r="K240" s="15" t="n">
        <f aca="false">MIN(ABS(F240-$B$232), ABS(F240-180-$B$232), ABS(F240+180-$B$232))</f>
        <v>48.317272727</v>
      </c>
    </row>
    <row r="241" customFormat="false" ht="14.25" hidden="false" customHeight="false" outlineLevel="0" collapsed="false">
      <c r="F241" s="1" t="n">
        <v>-53.181818182</v>
      </c>
      <c r="G241" s="1" t="n">
        <v>0.008370656</v>
      </c>
      <c r="H241" s="34" t="n">
        <v>0.010712784</v>
      </c>
      <c r="K241" s="15" t="n">
        <f aca="false">MIN(ABS(F241-$B$232), ABS(F241-180-$B$232), ABS(F241+180-$B$232))</f>
        <v>52.408181818</v>
      </c>
    </row>
    <row r="242" customFormat="false" ht="14.25" hidden="false" customHeight="false" outlineLevel="0" collapsed="false">
      <c r="F242" s="1" t="n">
        <v>-49.090909091</v>
      </c>
      <c r="G242" s="1" t="n">
        <v>0.008310344</v>
      </c>
      <c r="H242" s="34" t="n">
        <v>0.010712784</v>
      </c>
      <c r="K242" s="15" t="n">
        <f aca="false">MIN(ABS(F242-$B$232), ABS(F242-180-$B$232), ABS(F242+180-$B$232))</f>
        <v>56.499090909</v>
      </c>
    </row>
    <row r="243" customFormat="false" ht="14.25" hidden="false" customHeight="false" outlineLevel="0" collapsed="false">
      <c r="F243" s="1" t="n">
        <v>-45</v>
      </c>
      <c r="G243" s="1" t="n">
        <v>0.007655849</v>
      </c>
      <c r="H243" s="34" t="n">
        <v>0.010712784</v>
      </c>
      <c r="K243" s="15" t="n">
        <f aca="false">MIN(ABS(F243-$B$232), ABS(F243-180-$B$232), ABS(F243+180-$B$232))</f>
        <v>60.59</v>
      </c>
    </row>
    <row r="244" customFormat="false" ht="14.25" hidden="false" customHeight="false" outlineLevel="0" collapsed="false">
      <c r="F244" s="1" t="n">
        <v>-40.909090909</v>
      </c>
      <c r="G244" s="1" t="n">
        <v>0.007704287</v>
      </c>
      <c r="H244" s="34" t="n">
        <v>0.010712784</v>
      </c>
      <c r="K244" s="15" t="n">
        <f aca="false">MIN(ABS(F244-$B$232), ABS(F244-180-$B$232), ABS(F244+180-$B$232))</f>
        <v>64.680909091</v>
      </c>
    </row>
    <row r="245" customFormat="false" ht="14.25" hidden="false" customHeight="false" outlineLevel="0" collapsed="false">
      <c r="F245" s="1" t="n">
        <v>-36.818181818</v>
      </c>
      <c r="G245" s="1" t="n">
        <v>0.00804453</v>
      </c>
      <c r="H245" s="34" t="n">
        <v>0.010712784</v>
      </c>
      <c r="K245" s="15" t="n">
        <f aca="false">MIN(ABS(F245-$B$232), ABS(F245-180-$B$232), ABS(F245+180-$B$232))</f>
        <v>68.771818182</v>
      </c>
    </row>
    <row r="246" customFormat="false" ht="14.25" hidden="false" customHeight="false" outlineLevel="0" collapsed="false">
      <c r="F246" s="1" t="n">
        <v>-32.727272727</v>
      </c>
      <c r="G246" s="1" t="n">
        <v>0.007697145</v>
      </c>
      <c r="H246" s="34" t="n">
        <v>0.010712784</v>
      </c>
      <c r="K246" s="15" t="n">
        <f aca="false">MIN(ABS(F246-$B$232), ABS(F246-180-$B$232), ABS(F246+180-$B$232))</f>
        <v>72.862727273</v>
      </c>
    </row>
    <row r="247" customFormat="false" ht="14.25" hidden="false" customHeight="false" outlineLevel="0" collapsed="false">
      <c r="F247" s="1" t="n">
        <v>-28.636363636</v>
      </c>
      <c r="G247" s="1" t="n">
        <v>0.007594302</v>
      </c>
      <c r="H247" s="34" t="n">
        <v>0.010712784</v>
      </c>
      <c r="K247" s="15" t="n">
        <f aca="false">MIN(ABS(F247-$B$232), ABS(F247-180-$B$232), ABS(F247+180-$B$232))</f>
        <v>76.953636364</v>
      </c>
    </row>
    <row r="248" customFormat="false" ht="14.25" hidden="false" customHeight="false" outlineLevel="0" collapsed="false">
      <c r="F248" s="1" t="n">
        <v>-24.545454545</v>
      </c>
      <c r="G248" s="1" t="n">
        <v>0.007526405</v>
      </c>
      <c r="H248" s="34" t="n">
        <v>0.010712784</v>
      </c>
      <c r="K248" s="15" t="n">
        <f aca="false">MIN(ABS(F248-$B$232), ABS(F248-180-$B$232), ABS(F248+180-$B$232))</f>
        <v>81.044545455</v>
      </c>
    </row>
    <row r="249" customFormat="false" ht="14.25" hidden="false" customHeight="false" outlineLevel="0" collapsed="false">
      <c r="F249" s="1" t="n">
        <v>-20.454545455</v>
      </c>
      <c r="G249" s="1" t="n">
        <v>0.007336496</v>
      </c>
      <c r="H249" s="34" t="n">
        <v>0.010712784</v>
      </c>
      <c r="K249" s="15" t="n">
        <f aca="false">MIN(ABS(F249-$B$232), ABS(F249-180-$B$232), ABS(F249+180-$B$232))</f>
        <v>85.135454545</v>
      </c>
    </row>
    <row r="250" customFormat="false" ht="14.25" hidden="false" customHeight="false" outlineLevel="0" collapsed="false">
      <c r="F250" s="1" t="n">
        <v>-16.363636364</v>
      </c>
      <c r="G250" s="1" t="n">
        <v>0.007173302</v>
      </c>
      <c r="H250" s="34" t="n">
        <v>0.010712784</v>
      </c>
      <c r="K250" s="15" t="n">
        <f aca="false">MIN(ABS(F250-$B$232), ABS(F250-180-$B$232), ABS(F250+180-$B$232))</f>
        <v>89.226363636</v>
      </c>
    </row>
    <row r="251" customFormat="false" ht="14.25" hidden="false" customHeight="false" outlineLevel="0" collapsed="false">
      <c r="F251" s="1" t="n">
        <v>-12.272727273</v>
      </c>
      <c r="G251" s="1" t="n">
        <v>0.007304856</v>
      </c>
      <c r="H251" s="34" t="n">
        <v>0.010712784</v>
      </c>
      <c r="K251" s="15" t="n">
        <f aca="false">MIN(ABS(F251-$B$232), ABS(F251-180-$B$232), ABS(F251+180-$B$232))</f>
        <v>86.682727273</v>
      </c>
    </row>
    <row r="252" customFormat="false" ht="14.25" hidden="false" customHeight="false" outlineLevel="0" collapsed="false">
      <c r="F252" s="1" t="n">
        <v>-8.181818182</v>
      </c>
      <c r="G252" s="1" t="n">
        <v>0.007623748</v>
      </c>
      <c r="H252" s="34" t="n">
        <v>0.010712784</v>
      </c>
      <c r="K252" s="15" t="n">
        <f aca="false">MIN(ABS(F252-$B$232), ABS(F252-180-$B$232), ABS(F252+180-$B$232))</f>
        <v>82.591818182</v>
      </c>
    </row>
    <row r="253" customFormat="false" ht="14.25" hidden="false" customHeight="false" outlineLevel="0" collapsed="false">
      <c r="F253" s="1" t="n">
        <v>-4.090909091</v>
      </c>
      <c r="G253" s="1" t="n">
        <v>0.007975996</v>
      </c>
      <c r="H253" s="34" t="n">
        <v>0.010712784</v>
      </c>
      <c r="K253" s="15" t="n">
        <f aca="false">MIN(ABS(F253-$B$232), ABS(F253-180-$B$232), ABS(F253+180-$B$232))</f>
        <v>78.500909091</v>
      </c>
    </row>
    <row r="254" customFormat="false" ht="14.25" hidden="false" customHeight="false" outlineLevel="0" collapsed="false">
      <c r="F254" s="1" t="n">
        <v>0</v>
      </c>
      <c r="G254" s="1" t="n">
        <v>0.008687925</v>
      </c>
      <c r="H254" s="34" t="n">
        <v>0.010712784</v>
      </c>
      <c r="K254" s="15" t="n">
        <f aca="false">MIN(ABS(F254-$B$232), ABS(F254-180-$B$232), ABS(F254+180-$B$232))</f>
        <v>74.41</v>
      </c>
    </row>
    <row r="255" customFormat="false" ht="14.25" hidden="false" customHeight="false" outlineLevel="0" collapsed="false">
      <c r="F255" s="1" t="n">
        <v>4.090909091</v>
      </c>
      <c r="G255" s="1" t="n">
        <v>0.008483556</v>
      </c>
      <c r="H255" s="34" t="n">
        <v>0.010712784</v>
      </c>
      <c r="K255" s="15" t="n">
        <f aca="false">MIN(ABS(F255-$B$232), ABS(F255-180-$B$232), ABS(F255+180-$B$232))</f>
        <v>70.319090909</v>
      </c>
    </row>
    <row r="256" customFormat="false" ht="14.25" hidden="false" customHeight="false" outlineLevel="0" collapsed="false">
      <c r="F256" s="1" t="n">
        <v>8.181818182</v>
      </c>
      <c r="G256" s="1" t="n">
        <v>0.00844621</v>
      </c>
      <c r="H256" s="34" t="n">
        <v>0.010712784</v>
      </c>
      <c r="K256" s="15" t="n">
        <f aca="false">MIN(ABS(F256-$B$232), ABS(F256-180-$B$232), ABS(F256+180-$B$232))</f>
        <v>66.228181818</v>
      </c>
    </row>
    <row r="257" customFormat="false" ht="14.25" hidden="false" customHeight="false" outlineLevel="0" collapsed="false">
      <c r="F257" s="1" t="n">
        <v>12.272727273</v>
      </c>
      <c r="G257" s="1" t="n">
        <v>0.007754906</v>
      </c>
      <c r="H257" s="34" t="n">
        <v>0.010712784</v>
      </c>
      <c r="K257" s="15" t="n">
        <f aca="false">MIN(ABS(F257-$B$232), ABS(F257-180-$B$232), ABS(F257+180-$B$232))</f>
        <v>62.137272727</v>
      </c>
    </row>
    <row r="258" customFormat="false" ht="14.25" hidden="false" customHeight="false" outlineLevel="0" collapsed="false">
      <c r="F258" s="1" t="n">
        <v>16.363636364</v>
      </c>
      <c r="G258" s="1" t="n">
        <v>0.008545173</v>
      </c>
      <c r="H258" s="34" t="n">
        <v>0.010712785</v>
      </c>
      <c r="K258" s="15" t="n">
        <f aca="false">MIN(ABS(F258-$B$232), ABS(F258-180-$B$232), ABS(F258+180-$B$232))</f>
        <v>58.046363636</v>
      </c>
    </row>
    <row r="259" customFormat="false" ht="14.25" hidden="false" customHeight="false" outlineLevel="0" collapsed="false">
      <c r="F259" s="1" t="n">
        <v>20.454545455</v>
      </c>
      <c r="G259" s="1" t="n">
        <v>0.008787385</v>
      </c>
      <c r="H259" s="34" t="n">
        <v>0.010712791</v>
      </c>
      <c r="K259" s="15" t="n">
        <f aca="false">MIN(ABS(F259-$B$232), ABS(F259-180-$B$232), ABS(F259+180-$B$232))</f>
        <v>53.955454545</v>
      </c>
    </row>
    <row r="260" customFormat="false" ht="14.25" hidden="false" customHeight="false" outlineLevel="0" collapsed="false">
      <c r="F260" s="1" t="n">
        <v>24.545454545</v>
      </c>
      <c r="G260" s="1" t="n">
        <v>0.008967553</v>
      </c>
      <c r="H260" s="34" t="n">
        <v>0.010712858</v>
      </c>
      <c r="K260" s="15" t="n">
        <f aca="false">MIN(ABS(F260-$B$232), ABS(F260-180-$B$232), ABS(F260+180-$B$232))</f>
        <v>49.864545455</v>
      </c>
    </row>
    <row r="261" customFormat="false" ht="14.25" hidden="false" customHeight="false" outlineLevel="0" collapsed="false">
      <c r="F261" s="1" t="n">
        <v>28.636363636</v>
      </c>
      <c r="G261" s="1" t="n">
        <v>0.009369893</v>
      </c>
      <c r="H261" s="34" t="n">
        <v>0.010713457</v>
      </c>
      <c r="K261" s="15" t="n">
        <f aca="false">MIN(ABS(F261-$B$232), ABS(F261-180-$B$232), ABS(F261+180-$B$232))</f>
        <v>45.773636364</v>
      </c>
    </row>
    <row r="262" customFormat="false" ht="14.25" hidden="false" customHeight="false" outlineLevel="0" collapsed="false">
      <c r="F262" s="1" t="n">
        <v>32.727272727</v>
      </c>
      <c r="G262" s="1" t="n">
        <v>0.010064466</v>
      </c>
      <c r="H262" s="34" t="n">
        <v>0.010717859</v>
      </c>
      <c r="K262" s="15" t="n">
        <f aca="false">MIN(ABS(F262-$B$232), ABS(F262-180-$B$232), ABS(F262+180-$B$232))</f>
        <v>41.682727273</v>
      </c>
    </row>
    <row r="263" customFormat="false" ht="14.25" hidden="false" customHeight="false" outlineLevel="0" collapsed="false">
      <c r="F263" s="1" t="n">
        <v>36.818181818</v>
      </c>
      <c r="G263" s="1" t="n">
        <v>0.010791919</v>
      </c>
      <c r="H263" s="34" t="n">
        <v>0.010744457</v>
      </c>
      <c r="K263" s="15" t="n">
        <f aca="false">MIN(ABS(F263-$B$232), ABS(F263-180-$B$232), ABS(F263+180-$B$232))</f>
        <v>37.591818182</v>
      </c>
    </row>
    <row r="264" customFormat="false" ht="14.25" hidden="false" customHeight="false" outlineLevel="0" collapsed="false">
      <c r="F264" s="1" t="n">
        <v>40.909090909</v>
      </c>
      <c r="G264" s="1" t="n">
        <v>0.01116926</v>
      </c>
      <c r="H264" s="34" t="n">
        <v>0.010876412</v>
      </c>
      <c r="K264" s="15" t="n">
        <f aca="false">MIN(ABS(F264-$B$232), ABS(F264-180-$B$232), ABS(F264+180-$B$232))</f>
        <v>33.500909091</v>
      </c>
    </row>
    <row r="265" customFormat="false" ht="14.25" hidden="false" customHeight="false" outlineLevel="0" collapsed="false">
      <c r="F265" s="1" t="n">
        <v>45</v>
      </c>
      <c r="G265" s="1" t="n">
        <v>0.012949777</v>
      </c>
      <c r="H265" s="34" t="n">
        <v>0.011412567</v>
      </c>
      <c r="K265" s="15" t="n">
        <f aca="false">MIN(ABS(F265-$B$232), ABS(F265-180-$B$232), ABS(F265+180-$B$232))</f>
        <v>29.41</v>
      </c>
    </row>
    <row r="266" customFormat="false" ht="14.25" hidden="false" customHeight="false" outlineLevel="0" collapsed="false">
      <c r="F266" s="1" t="n">
        <v>49.090909091</v>
      </c>
      <c r="G266" s="1" t="n">
        <v>0.014872097</v>
      </c>
      <c r="H266" s="34" t="n">
        <v>0.013190228</v>
      </c>
      <c r="K266" s="15" t="n">
        <f aca="false">MIN(ABS(F266-$B$232), ABS(F266-180-$B$232), ABS(F266+180-$B$232))</f>
        <v>25.319090909</v>
      </c>
    </row>
    <row r="267" customFormat="false" ht="14.25" hidden="false" customHeight="false" outlineLevel="0" collapsed="false">
      <c r="F267" s="1" t="n">
        <v>53.181818182</v>
      </c>
      <c r="G267" s="1" t="n">
        <v>0.020028484</v>
      </c>
      <c r="H267" s="34" t="n">
        <v>0.017973499</v>
      </c>
      <c r="K267" s="15" t="n">
        <f aca="false">MIN(ABS(F267-$B$232), ABS(F267-180-$B$232), ABS(F267+180-$B$232))</f>
        <v>21.228181818</v>
      </c>
    </row>
    <row r="268" customFormat="false" ht="14.25" hidden="false" customHeight="false" outlineLevel="0" collapsed="false">
      <c r="F268" s="1" t="n">
        <v>57.272727273</v>
      </c>
      <c r="G268" s="1" t="n">
        <v>0.034044589</v>
      </c>
      <c r="H268" s="34" t="n">
        <v>0.028328071</v>
      </c>
      <c r="K268" s="15" t="n">
        <f aca="false">MIN(ABS(F268-$B$232), ABS(F268-180-$B$232), ABS(F268+180-$B$232))</f>
        <v>17.137272727</v>
      </c>
    </row>
    <row r="269" customFormat="false" ht="14.25" hidden="false" customHeight="false" outlineLevel="0" collapsed="false">
      <c r="F269" s="1" t="n">
        <v>61.363636364</v>
      </c>
      <c r="G269" s="1" t="n">
        <v>0.05080546</v>
      </c>
      <c r="H269" s="34" t="n">
        <v>0.046090908</v>
      </c>
      <c r="K269" s="15" t="n">
        <f aca="false">MIN(ABS(F269-$B$232), ABS(F269-180-$B$232), ABS(F269+180-$B$232))</f>
        <v>13.046363636</v>
      </c>
    </row>
    <row r="270" customFormat="false" ht="14.25" hidden="false" customHeight="false" outlineLevel="0" collapsed="false">
      <c r="F270" s="1" t="n">
        <v>65.454545455</v>
      </c>
      <c r="G270" s="1" t="n">
        <v>0.071237401</v>
      </c>
      <c r="H270" s="34" t="n">
        <v>0.069531377</v>
      </c>
      <c r="K270" s="15" t="n">
        <f aca="false">MIN(ABS(F270-$B$232), ABS(F270-180-$B$232), ABS(F270+180-$B$232))</f>
        <v>8.955454545</v>
      </c>
    </row>
    <row r="271" customFormat="false" ht="14.25" hidden="false" customHeight="false" outlineLevel="0" collapsed="false">
      <c r="F271" s="1" t="n">
        <v>69.545454545</v>
      </c>
      <c r="G271" s="1" t="n">
        <v>0.079276152</v>
      </c>
      <c r="H271" s="34" t="n">
        <v>0.09166509</v>
      </c>
      <c r="K271" s="15" t="n">
        <f aca="false">MIN(ABS(F271-$B$232), ABS(F271-180-$B$232), ABS(F271+180-$B$232))</f>
        <v>4.864545455</v>
      </c>
    </row>
    <row r="272" customFormat="false" ht="14.25" hidden="false" customHeight="false" outlineLevel="0" collapsed="false">
      <c r="F272" s="1" t="n">
        <v>73.636363636</v>
      </c>
      <c r="G272" s="1" t="n">
        <v>0.095077502</v>
      </c>
      <c r="H272" s="34" t="n">
        <v>0.102944138</v>
      </c>
      <c r="K272" s="15" t="n">
        <f aca="false">MIN(ABS(F272-$B$232), ABS(F272-180-$B$232), ABS(F272+180-$B$232))</f>
        <v>0.773636363999998</v>
      </c>
    </row>
    <row r="273" customFormat="false" ht="14.25" hidden="false" customHeight="false" outlineLevel="0" collapsed="false">
      <c r="F273" s="1" t="n">
        <v>77.727272727</v>
      </c>
      <c r="G273" s="1" t="n">
        <v>0.120101466</v>
      </c>
      <c r="H273" s="34" t="n">
        <v>0.097701456</v>
      </c>
      <c r="K273" s="15" t="n">
        <f aca="false">MIN(ABS(F273-$B$232), ABS(F273-180-$B$232), ABS(F273+180-$B$232))</f>
        <v>3.317272727</v>
      </c>
    </row>
    <row r="274" s="19" customFormat="true" ht="14.25" hidden="false" customHeight="false" outlineLevel="0" collapsed="false">
      <c r="A274" s="1"/>
      <c r="B274" s="1"/>
      <c r="C274" s="1"/>
      <c r="D274" s="1"/>
      <c r="E274" s="1"/>
      <c r="F274" s="1" t="n">
        <v>81.818181818</v>
      </c>
      <c r="G274" s="1" t="n">
        <v>0.077497702</v>
      </c>
      <c r="H274" s="34" t="n">
        <v>0.078630267</v>
      </c>
      <c r="I274" s="1"/>
      <c r="J274" s="1"/>
      <c r="K274" s="15" t="n">
        <f aca="false">MIN(ABS(F274-$B$232), ABS(F274-180-$B$232), ABS(F274+180-$B$232))</f>
        <v>7.408181818</v>
      </c>
      <c r="L274" s="1"/>
      <c r="M274" s="1"/>
    </row>
    <row r="275" customFormat="false" ht="14.25" hidden="false" customHeight="false" outlineLevel="0" collapsed="false">
      <c r="F275" s="1" t="n">
        <v>85.909090909</v>
      </c>
      <c r="G275" s="1" t="n">
        <v>0.042343216</v>
      </c>
      <c r="H275" s="34" t="n">
        <v>0.054609823</v>
      </c>
      <c r="K275" s="15" t="n">
        <f aca="false">MIN(ABS(F275-$B$232), ABS(F275-180-$B$232), ABS(F275+180-$B$232))</f>
        <v>11.499090909</v>
      </c>
    </row>
    <row r="276" customFormat="false" ht="14.25" hidden="false" customHeight="false" outlineLevel="0" collapsed="false">
      <c r="A276" s="19"/>
      <c r="B276" s="19"/>
      <c r="C276" s="19"/>
      <c r="D276" s="19"/>
      <c r="E276" s="19"/>
      <c r="F276" s="19" t="n">
        <v>90</v>
      </c>
      <c r="G276" s="19" t="n">
        <v>0.034508724</v>
      </c>
      <c r="H276" s="35" t="n">
        <v>0.034199572</v>
      </c>
      <c r="I276" s="19"/>
      <c r="J276" s="19"/>
      <c r="K276" s="15" t="n">
        <f aca="false">MIN(ABS(F276-$B$232), ABS(F276-180-$B$232), ABS(F276+180-$B$232))</f>
        <v>15.59</v>
      </c>
      <c r="L276" s="19"/>
      <c r="M276" s="19"/>
    </row>
    <row r="277" customFormat="false" ht="14.25" hidden="false" customHeight="false" outlineLevel="0" collapsed="false">
      <c r="A277" s="14" t="n">
        <v>20241115</v>
      </c>
      <c r="B277" s="14" t="n">
        <v>78.29</v>
      </c>
      <c r="C277" s="14" t="n">
        <v>10.81</v>
      </c>
      <c r="D277" s="14" t="n">
        <v>0.58</v>
      </c>
      <c r="E277" s="14" t="n">
        <v>0.85</v>
      </c>
      <c r="F277" s="1" t="n">
        <v>-90</v>
      </c>
      <c r="G277" s="1" t="n">
        <v>0.0541522</v>
      </c>
      <c r="H277" s="34" t="n">
        <v>0.011512984</v>
      </c>
      <c r="K277" s="15" t="n">
        <f aca="false">MIN(ABS(F277-$B$277), ABS(F277-180-$B$277), ABS(F277+180-$B$277))</f>
        <v>11.71</v>
      </c>
      <c r="L277" s="16" t="n">
        <f aca="false" t="array" ref="L277:L277">SQRT(SUMPRODUCT(G277:G321,K277:K321*K277:K321))</f>
        <v>31.3965751067056</v>
      </c>
      <c r="M277" s="3" t="n">
        <f aca="false" t="array" ref="M277:M277">SUMPRODUCT(G277:G321,ABS(K277:K321))</f>
        <v>21.5195187468904</v>
      </c>
    </row>
    <row r="278" customFormat="false" ht="14.25" hidden="false" customHeight="false" outlineLevel="0" collapsed="false">
      <c r="F278" s="1" t="n">
        <v>-85.909090909</v>
      </c>
      <c r="G278" s="1" t="n">
        <v>0.040870897</v>
      </c>
      <c r="H278" s="34" t="n">
        <v>0.011512984</v>
      </c>
      <c r="K278" s="15" t="n">
        <f aca="false">MIN(ABS(F278-$B$277), ABS(F278-180-$B$277), ABS(F278+180-$B$277))</f>
        <v>15.800909091</v>
      </c>
    </row>
    <row r="279" customFormat="false" ht="14.25" hidden="false" customHeight="false" outlineLevel="0" collapsed="false">
      <c r="F279" s="1" t="n">
        <v>-81.818181818</v>
      </c>
      <c r="G279" s="1" t="n">
        <v>0.030940732</v>
      </c>
      <c r="H279" s="34" t="n">
        <v>0.011512984</v>
      </c>
      <c r="K279" s="15" t="n">
        <f aca="false">MIN(ABS(F279-$B$277), ABS(F279-180-$B$277), ABS(F279+180-$B$277))</f>
        <v>19.891818182</v>
      </c>
      <c r="L279" s="1" t="n">
        <f aca="false">C277/L277</f>
        <v>0.344305070322503</v>
      </c>
    </row>
    <row r="280" customFormat="false" ht="14.25" hidden="false" customHeight="false" outlineLevel="0" collapsed="false">
      <c r="F280" s="1" t="n">
        <v>-77.727272727</v>
      </c>
      <c r="G280" s="1" t="n">
        <v>0.020014866</v>
      </c>
      <c r="H280" s="34" t="n">
        <v>0.011512984</v>
      </c>
      <c r="K280" s="15" t="n">
        <f aca="false">MIN(ABS(F280-$B$277), ABS(F280-180-$B$277), ABS(F280+180-$B$277))</f>
        <v>23.982727273</v>
      </c>
    </row>
    <row r="281" customFormat="false" ht="14.25" hidden="false" customHeight="false" outlineLevel="0" collapsed="false">
      <c r="F281" s="1" t="n">
        <v>-73.636363636</v>
      </c>
      <c r="G281" s="1" t="n">
        <v>0.01451667</v>
      </c>
      <c r="H281" s="34" t="n">
        <v>0.011512984</v>
      </c>
      <c r="K281" s="15" t="n">
        <f aca="false">MIN(ABS(F281-$B$277), ABS(F281-180-$B$277), ABS(F281+180-$B$277))</f>
        <v>28.073636364</v>
      </c>
    </row>
    <row r="282" customFormat="false" ht="14.25" hidden="false" customHeight="false" outlineLevel="0" collapsed="false">
      <c r="F282" s="1" t="n">
        <v>-69.545454545</v>
      </c>
      <c r="G282" s="1" t="n">
        <v>0.011343197</v>
      </c>
      <c r="H282" s="34" t="n">
        <v>0.011512984</v>
      </c>
      <c r="K282" s="15" t="n">
        <f aca="false">MIN(ABS(F282-$B$277), ABS(F282-180-$B$277), ABS(F282+180-$B$277))</f>
        <v>32.164545455</v>
      </c>
    </row>
    <row r="283" customFormat="false" ht="14.25" hidden="false" customHeight="false" outlineLevel="0" collapsed="false">
      <c r="F283" s="1" t="n">
        <v>-65.454545455</v>
      </c>
      <c r="G283" s="1" t="n">
        <v>0.010348656</v>
      </c>
      <c r="H283" s="34" t="n">
        <v>0.011512984</v>
      </c>
      <c r="K283" s="15" t="n">
        <f aca="false">MIN(ABS(F283-$B$277), ABS(F283-180-$B$277), ABS(F283+180-$B$277))</f>
        <v>36.255454545</v>
      </c>
    </row>
    <row r="284" customFormat="false" ht="14.25" hidden="false" customHeight="false" outlineLevel="0" collapsed="false">
      <c r="F284" s="1" t="n">
        <v>-61.363636364</v>
      </c>
      <c r="G284" s="1" t="n">
        <v>0.009037486</v>
      </c>
      <c r="H284" s="34" t="n">
        <v>0.011512984</v>
      </c>
      <c r="K284" s="15" t="n">
        <f aca="false">MIN(ABS(F284-$B$277), ABS(F284-180-$B$277), ABS(F284+180-$B$277))</f>
        <v>40.346363636</v>
      </c>
    </row>
    <row r="285" customFormat="false" ht="14.25" hidden="false" customHeight="false" outlineLevel="0" collapsed="false">
      <c r="F285" s="1" t="n">
        <v>-57.272727273</v>
      </c>
      <c r="G285" s="1" t="n">
        <v>0.008196304</v>
      </c>
      <c r="H285" s="34" t="n">
        <v>0.011512984</v>
      </c>
      <c r="K285" s="15" t="n">
        <f aca="false">MIN(ABS(F285-$B$277), ABS(F285-180-$B$277), ABS(F285+180-$B$277))</f>
        <v>44.437272727</v>
      </c>
    </row>
    <row r="286" customFormat="false" ht="14.25" hidden="false" customHeight="false" outlineLevel="0" collapsed="false">
      <c r="F286" s="1" t="n">
        <v>-53.181818182</v>
      </c>
      <c r="G286" s="1" t="n">
        <v>0.008130589</v>
      </c>
      <c r="H286" s="34" t="n">
        <v>0.011512984</v>
      </c>
      <c r="K286" s="15" t="n">
        <f aca="false">MIN(ABS(F286-$B$277), ABS(F286-180-$B$277), ABS(F286+180-$B$277))</f>
        <v>48.528181818</v>
      </c>
    </row>
    <row r="287" customFormat="false" ht="14.25" hidden="false" customHeight="false" outlineLevel="0" collapsed="false">
      <c r="F287" s="1" t="n">
        <v>-49.090909091</v>
      </c>
      <c r="G287" s="1" t="n">
        <v>0.007584555</v>
      </c>
      <c r="H287" s="34" t="n">
        <v>0.011512984</v>
      </c>
      <c r="K287" s="15" t="n">
        <f aca="false">MIN(ABS(F287-$B$277), ABS(F287-180-$B$277), ABS(F287+180-$B$277))</f>
        <v>52.619090909</v>
      </c>
    </row>
    <row r="288" customFormat="false" ht="14.25" hidden="false" customHeight="false" outlineLevel="0" collapsed="false">
      <c r="F288" s="1" t="n">
        <v>-45</v>
      </c>
      <c r="G288" s="1" t="n">
        <v>0.007417003</v>
      </c>
      <c r="H288" s="34" t="n">
        <v>0.011512984</v>
      </c>
      <c r="K288" s="15" t="n">
        <f aca="false">MIN(ABS(F288-$B$277), ABS(F288-180-$B$277), ABS(F288+180-$B$277))</f>
        <v>56.71</v>
      </c>
    </row>
    <row r="289" customFormat="false" ht="14.25" hidden="false" customHeight="false" outlineLevel="0" collapsed="false">
      <c r="F289" s="1" t="n">
        <v>-40.909090909</v>
      </c>
      <c r="G289" s="1" t="n">
        <v>0.006980004</v>
      </c>
      <c r="H289" s="34" t="n">
        <v>0.011512984</v>
      </c>
      <c r="K289" s="15" t="n">
        <f aca="false">MIN(ABS(F289-$B$277), ABS(F289-180-$B$277), ABS(F289+180-$B$277))</f>
        <v>60.800909091</v>
      </c>
    </row>
    <row r="290" customFormat="false" ht="14.25" hidden="false" customHeight="false" outlineLevel="0" collapsed="false">
      <c r="F290" s="1" t="n">
        <v>-36.818181818</v>
      </c>
      <c r="G290" s="1" t="n">
        <v>0.00687799</v>
      </c>
      <c r="H290" s="34" t="n">
        <v>0.011512984</v>
      </c>
      <c r="K290" s="15" t="n">
        <f aca="false">MIN(ABS(F290-$B$277), ABS(F290-180-$B$277), ABS(F290+180-$B$277))</f>
        <v>64.891818182</v>
      </c>
    </row>
    <row r="291" customFormat="false" ht="14.25" hidden="false" customHeight="false" outlineLevel="0" collapsed="false">
      <c r="F291" s="1" t="n">
        <v>-32.727272727</v>
      </c>
      <c r="G291" s="1" t="n">
        <v>0.006815823</v>
      </c>
      <c r="H291" s="34" t="n">
        <v>0.011512984</v>
      </c>
      <c r="K291" s="15" t="n">
        <f aca="false">MIN(ABS(F291-$B$277), ABS(F291-180-$B$277), ABS(F291+180-$B$277))</f>
        <v>68.982727273</v>
      </c>
    </row>
    <row r="292" customFormat="false" ht="14.25" hidden="false" customHeight="false" outlineLevel="0" collapsed="false">
      <c r="F292" s="1" t="n">
        <v>-28.636363636</v>
      </c>
      <c r="G292" s="1" t="n">
        <v>0.006951157</v>
      </c>
      <c r="H292" s="34" t="n">
        <v>0.011512984</v>
      </c>
      <c r="K292" s="15" t="n">
        <f aca="false">MIN(ABS(F292-$B$277), ABS(F292-180-$B$277), ABS(F292+180-$B$277))</f>
        <v>73.073636364</v>
      </c>
    </row>
    <row r="293" customFormat="false" ht="14.25" hidden="false" customHeight="false" outlineLevel="0" collapsed="false">
      <c r="F293" s="1" t="n">
        <v>-24.545454545</v>
      </c>
      <c r="G293" s="1" t="n">
        <v>0.006488686</v>
      </c>
      <c r="H293" s="34" t="n">
        <v>0.011512984</v>
      </c>
      <c r="K293" s="15" t="n">
        <f aca="false">MIN(ABS(F293-$B$277), ABS(F293-180-$B$277), ABS(F293+180-$B$277))</f>
        <v>77.164545455</v>
      </c>
    </row>
    <row r="294" customFormat="false" ht="14.25" hidden="false" customHeight="false" outlineLevel="0" collapsed="false">
      <c r="F294" s="1" t="n">
        <v>-20.454545455</v>
      </c>
      <c r="G294" s="1" t="n">
        <v>0.006739743</v>
      </c>
      <c r="H294" s="34" t="n">
        <v>0.011512984</v>
      </c>
      <c r="K294" s="15" t="n">
        <f aca="false">MIN(ABS(F294-$B$277), ABS(F294-180-$B$277), ABS(F294+180-$B$277))</f>
        <v>81.255454545</v>
      </c>
    </row>
    <row r="295" customFormat="false" ht="14.25" hidden="false" customHeight="false" outlineLevel="0" collapsed="false">
      <c r="F295" s="1" t="n">
        <v>-16.363636364</v>
      </c>
      <c r="G295" s="1" t="n">
        <v>0.006838296</v>
      </c>
      <c r="H295" s="34" t="n">
        <v>0.011512984</v>
      </c>
      <c r="K295" s="15" t="n">
        <f aca="false">MIN(ABS(F295-$B$277), ABS(F295-180-$B$277), ABS(F295+180-$B$277))</f>
        <v>85.346363636</v>
      </c>
    </row>
    <row r="296" customFormat="false" ht="14.25" hidden="false" customHeight="false" outlineLevel="0" collapsed="false">
      <c r="F296" s="1" t="n">
        <v>-12.272727273</v>
      </c>
      <c r="G296" s="1" t="n">
        <v>0.006747258</v>
      </c>
      <c r="H296" s="34" t="n">
        <v>0.011512984</v>
      </c>
      <c r="K296" s="15" t="n">
        <f aca="false">MIN(ABS(F296-$B$277), ABS(F296-180-$B$277), ABS(F296+180-$B$277))</f>
        <v>89.437272727</v>
      </c>
    </row>
    <row r="297" customFormat="false" ht="14.25" hidden="false" customHeight="false" outlineLevel="0" collapsed="false">
      <c r="F297" s="1" t="n">
        <v>-8.181818182</v>
      </c>
      <c r="G297" s="1" t="n">
        <v>0.007121188</v>
      </c>
      <c r="H297" s="34" t="n">
        <v>0.011512984</v>
      </c>
      <c r="K297" s="15" t="n">
        <f aca="false">MIN(ABS(F297-$B$277), ABS(F297-180-$B$277), ABS(F297+180-$B$277))</f>
        <v>86.471818182</v>
      </c>
    </row>
    <row r="298" customFormat="false" ht="14.25" hidden="false" customHeight="false" outlineLevel="0" collapsed="false">
      <c r="F298" s="1" t="n">
        <v>-4.090909091</v>
      </c>
      <c r="G298" s="1" t="n">
        <v>0.007283914</v>
      </c>
      <c r="H298" s="34" t="n">
        <v>0.011512984</v>
      </c>
      <c r="K298" s="15" t="n">
        <f aca="false">MIN(ABS(F298-$B$277), ABS(F298-180-$B$277), ABS(F298+180-$B$277))</f>
        <v>82.380909091</v>
      </c>
    </row>
    <row r="299" customFormat="false" ht="14.25" hidden="false" customHeight="false" outlineLevel="0" collapsed="false">
      <c r="F299" s="1" t="n">
        <v>0</v>
      </c>
      <c r="G299" s="1" t="n">
        <v>0.008238898</v>
      </c>
      <c r="H299" s="34" t="n">
        <v>0.011512984</v>
      </c>
      <c r="K299" s="15" t="n">
        <f aca="false">MIN(ABS(F299-$B$277), ABS(F299-180-$B$277), ABS(F299+180-$B$277))</f>
        <v>78.29</v>
      </c>
    </row>
    <row r="300" customFormat="false" ht="14.25" hidden="false" customHeight="false" outlineLevel="0" collapsed="false">
      <c r="F300" s="1" t="n">
        <v>4.090909091</v>
      </c>
      <c r="G300" s="1" t="n">
        <v>0.007784448</v>
      </c>
      <c r="H300" s="34" t="n">
        <v>0.011512984</v>
      </c>
      <c r="K300" s="15" t="n">
        <f aca="false">MIN(ABS(F300-$B$277), ABS(F300-180-$B$277), ABS(F300+180-$B$277))</f>
        <v>74.199090909</v>
      </c>
    </row>
    <row r="301" customFormat="false" ht="14.25" hidden="false" customHeight="false" outlineLevel="0" collapsed="false">
      <c r="F301" s="1" t="n">
        <v>8.181818182</v>
      </c>
      <c r="G301" s="1" t="n">
        <v>0.007665323</v>
      </c>
      <c r="H301" s="34" t="n">
        <v>0.011512984</v>
      </c>
      <c r="K301" s="15" t="n">
        <f aca="false">MIN(ABS(F301-$B$277), ABS(F301-180-$B$277), ABS(F301+180-$B$277))</f>
        <v>70.108181818</v>
      </c>
    </row>
    <row r="302" customFormat="false" ht="14.25" hidden="false" customHeight="false" outlineLevel="0" collapsed="false">
      <c r="F302" s="1" t="n">
        <v>12.272727273</v>
      </c>
      <c r="G302" s="1" t="n">
        <v>0.007763286</v>
      </c>
      <c r="H302" s="34" t="n">
        <v>0.011512984</v>
      </c>
      <c r="K302" s="15" t="n">
        <f aca="false">MIN(ABS(F302-$B$277), ABS(F302-180-$B$277), ABS(F302+180-$B$277))</f>
        <v>66.017272727</v>
      </c>
    </row>
    <row r="303" customFormat="false" ht="14.25" hidden="false" customHeight="false" outlineLevel="0" collapsed="false">
      <c r="F303" s="1" t="n">
        <v>16.363636364</v>
      </c>
      <c r="G303" s="1" t="n">
        <v>0.008087722</v>
      </c>
      <c r="H303" s="34" t="n">
        <v>0.01151299</v>
      </c>
      <c r="K303" s="15" t="n">
        <f aca="false">MIN(ABS(F303-$B$277), ABS(F303-180-$B$277), ABS(F303+180-$B$277))</f>
        <v>61.926363636</v>
      </c>
    </row>
    <row r="304" customFormat="false" ht="14.25" hidden="false" customHeight="false" outlineLevel="0" collapsed="false">
      <c r="F304" s="1" t="n">
        <v>20.454545455</v>
      </c>
      <c r="G304" s="1" t="n">
        <v>0.008423344</v>
      </c>
      <c r="H304" s="34" t="n">
        <v>0.011513033</v>
      </c>
      <c r="K304" s="15" t="n">
        <f aca="false">MIN(ABS(F304-$B$277), ABS(F304-180-$B$277), ABS(F304+180-$B$277))</f>
        <v>57.835454545</v>
      </c>
    </row>
    <row r="305" customFormat="false" ht="14.25" hidden="false" customHeight="false" outlineLevel="0" collapsed="false">
      <c r="F305" s="1" t="n">
        <v>24.545454545</v>
      </c>
      <c r="G305" s="1" t="n">
        <v>0.008491074</v>
      </c>
      <c r="H305" s="34" t="n">
        <v>0.011513333</v>
      </c>
      <c r="K305" s="15" t="n">
        <f aca="false">MIN(ABS(F305-$B$277), ABS(F305-180-$B$277), ABS(F305+180-$B$277))</f>
        <v>53.744545455</v>
      </c>
    </row>
    <row r="306" customFormat="false" ht="14.25" hidden="false" customHeight="false" outlineLevel="0" collapsed="false">
      <c r="F306" s="1" t="n">
        <v>28.636363636</v>
      </c>
      <c r="G306" s="1" t="n">
        <v>0.008038136</v>
      </c>
      <c r="H306" s="34" t="n">
        <v>0.011515118</v>
      </c>
      <c r="K306" s="15" t="n">
        <f aca="false">MIN(ABS(F306-$B$277), ABS(F306-180-$B$277), ABS(F306+180-$B$277))</f>
        <v>49.653636364</v>
      </c>
    </row>
    <row r="307" customFormat="false" ht="14.25" hidden="false" customHeight="false" outlineLevel="0" collapsed="false">
      <c r="F307" s="1" t="n">
        <v>32.727272727</v>
      </c>
      <c r="G307" s="1" t="n">
        <v>0.008525727</v>
      </c>
      <c r="H307" s="34" t="n">
        <v>0.011524273</v>
      </c>
      <c r="K307" s="15" t="n">
        <f aca="false">MIN(ABS(F307-$B$277), ABS(F307-180-$B$277), ABS(F307+180-$B$277))</f>
        <v>45.562727273</v>
      </c>
    </row>
    <row r="308" customFormat="false" ht="14.25" hidden="false" customHeight="false" outlineLevel="0" collapsed="false">
      <c r="F308" s="1" t="n">
        <v>36.818181818</v>
      </c>
      <c r="G308" s="1" t="n">
        <v>0.009860245</v>
      </c>
      <c r="H308" s="34" t="n">
        <v>0.011564724</v>
      </c>
      <c r="K308" s="15" t="n">
        <f aca="false">MIN(ABS(F308-$B$277), ABS(F308-180-$B$277), ABS(F308+180-$B$277))</f>
        <v>41.471818182</v>
      </c>
    </row>
    <row r="309" customFormat="false" ht="14.25" hidden="false" customHeight="false" outlineLevel="0" collapsed="false">
      <c r="F309" s="1" t="n">
        <v>40.909090909</v>
      </c>
      <c r="G309" s="1" t="n">
        <v>0.010265332</v>
      </c>
      <c r="H309" s="34" t="n">
        <v>0.011718494</v>
      </c>
      <c r="K309" s="15" t="n">
        <f aca="false">MIN(ABS(F309-$B$277), ABS(F309-180-$B$277), ABS(F309+180-$B$277))</f>
        <v>37.380909091</v>
      </c>
    </row>
    <row r="310" customFormat="false" ht="14.25" hidden="false" customHeight="false" outlineLevel="0" collapsed="false">
      <c r="F310" s="1" t="n">
        <v>45</v>
      </c>
      <c r="G310" s="1" t="n">
        <v>0.011359039</v>
      </c>
      <c r="H310" s="34" t="n">
        <v>0.012220416</v>
      </c>
      <c r="K310" s="15" t="n">
        <f aca="false">MIN(ABS(F310-$B$277), ABS(F310-180-$B$277), ABS(F310+180-$B$277))</f>
        <v>33.29</v>
      </c>
    </row>
    <row r="311" customFormat="false" ht="14.25" hidden="false" customHeight="false" outlineLevel="0" collapsed="false">
      <c r="F311" s="1" t="n">
        <v>49.090909091</v>
      </c>
      <c r="G311" s="1" t="n">
        <v>0.012234094</v>
      </c>
      <c r="H311" s="34" t="n">
        <v>0.01362348</v>
      </c>
      <c r="K311" s="15" t="n">
        <f aca="false">MIN(ABS(F311-$B$277), ABS(F311-180-$B$277), ABS(F311+180-$B$277))</f>
        <v>29.199090909</v>
      </c>
    </row>
    <row r="312" customFormat="false" ht="14.25" hidden="false" customHeight="false" outlineLevel="0" collapsed="false">
      <c r="F312" s="1" t="n">
        <v>53.181818182</v>
      </c>
      <c r="G312" s="1" t="n">
        <v>0.014683077</v>
      </c>
      <c r="H312" s="34" t="n">
        <v>0.016969722</v>
      </c>
      <c r="K312" s="15" t="n">
        <f aca="false">MIN(ABS(F312-$B$277), ABS(F312-180-$B$277), ABS(F312+180-$B$277))</f>
        <v>25.108181818</v>
      </c>
    </row>
    <row r="313" customFormat="false" ht="14.25" hidden="false" customHeight="false" outlineLevel="0" collapsed="false">
      <c r="F313" s="1" t="n">
        <v>57.272727273</v>
      </c>
      <c r="G313" s="1" t="n">
        <v>0.021871621</v>
      </c>
      <c r="H313" s="34" t="n">
        <v>0.023740284</v>
      </c>
      <c r="K313" s="15" t="n">
        <f aca="false">MIN(ABS(F313-$B$277), ABS(F313-180-$B$277), ABS(F313+180-$B$277))</f>
        <v>21.017272727</v>
      </c>
    </row>
    <row r="314" customFormat="false" ht="14.25" hidden="false" customHeight="false" outlineLevel="0" collapsed="false">
      <c r="F314" s="1" t="n">
        <v>61.363636364</v>
      </c>
      <c r="G314" s="1" t="n">
        <v>0.03300176</v>
      </c>
      <c r="H314" s="34" t="n">
        <v>0.035258235</v>
      </c>
      <c r="K314" s="15" t="n">
        <f aca="false">MIN(ABS(F314-$B$277), ABS(F314-180-$B$277), ABS(F314+180-$B$277))</f>
        <v>16.926363636</v>
      </c>
    </row>
    <row r="315" customFormat="false" ht="14.25" hidden="false" customHeight="false" outlineLevel="0" collapsed="false">
      <c r="F315" s="1" t="n">
        <v>65.454545455</v>
      </c>
      <c r="G315" s="1" t="n">
        <v>0.061425627</v>
      </c>
      <c r="H315" s="34" t="n">
        <v>0.05147724</v>
      </c>
      <c r="K315" s="15" t="n">
        <f aca="false">MIN(ABS(F315-$B$277), ABS(F315-180-$B$277), ABS(F315+180-$B$277))</f>
        <v>12.835454545</v>
      </c>
    </row>
    <row r="316" customFormat="false" ht="14.25" hidden="false" customHeight="false" outlineLevel="0" collapsed="false">
      <c r="F316" s="1" t="n">
        <v>69.545454545</v>
      </c>
      <c r="G316" s="1" t="n">
        <v>0.070008286</v>
      </c>
      <c r="H316" s="34" t="n">
        <v>0.069805862</v>
      </c>
      <c r="K316" s="15" t="n">
        <f aca="false">MIN(ABS(F316-$B$277), ABS(F316-180-$B$277), ABS(F316+180-$B$277))</f>
        <v>8.74454545500001</v>
      </c>
    </row>
    <row r="317" customFormat="false" ht="14.25" hidden="false" customHeight="false" outlineLevel="0" collapsed="false">
      <c r="F317" s="1" t="n">
        <v>73.636363636</v>
      </c>
      <c r="G317" s="1" t="n">
        <v>0.076039512</v>
      </c>
      <c r="H317" s="34" t="n">
        <v>0.085202897</v>
      </c>
      <c r="K317" s="15" t="n">
        <f aca="false">MIN(ABS(F317-$B$277), ABS(F317-180-$B$277), ABS(F317+180-$B$277))</f>
        <v>4.65363636400001</v>
      </c>
    </row>
    <row r="318" customFormat="false" ht="14.25" hidden="false" customHeight="false" outlineLevel="0" collapsed="false">
      <c r="F318" s="1" t="n">
        <v>77.727272727</v>
      </c>
      <c r="G318" s="1" t="n">
        <v>0.090712583</v>
      </c>
      <c r="H318" s="34" t="n">
        <v>0.092245663</v>
      </c>
      <c r="K318" s="15" t="n">
        <f aca="false">MIN(ABS(F318-$B$277), ABS(F318-180-$B$277), ABS(F318+180-$B$277))</f>
        <v>0.562727273000007</v>
      </c>
    </row>
    <row r="319" s="19" customFormat="true" ht="14.25" hidden="false" customHeight="false" outlineLevel="0" collapsed="false">
      <c r="A319" s="1"/>
      <c r="B319" s="1"/>
      <c r="C319" s="1"/>
      <c r="D319" s="1"/>
      <c r="E319" s="1"/>
      <c r="F319" s="1" t="n">
        <v>81.818181818</v>
      </c>
      <c r="G319" s="1" t="n">
        <v>0.097969626</v>
      </c>
      <c r="H319" s="34" t="n">
        <v>0.088167805</v>
      </c>
      <c r="I319" s="1"/>
      <c r="J319" s="1"/>
      <c r="K319" s="15" t="n">
        <f aca="false">MIN(ABS(F319-$B$277), ABS(F319-180-$B$277), ABS(F319+180-$B$277))</f>
        <v>3.52818181799999</v>
      </c>
      <c r="L319" s="1"/>
      <c r="M319" s="1"/>
    </row>
    <row r="320" customFormat="false" ht="14.25" hidden="false" customHeight="false" outlineLevel="0" collapsed="false">
      <c r="F320" s="1" t="n">
        <v>85.909090909</v>
      </c>
      <c r="G320" s="1" t="n">
        <v>0.072001827</v>
      </c>
      <c r="H320" s="34" t="n">
        <v>0.074591049</v>
      </c>
      <c r="K320" s="15" t="n">
        <f aca="false">MIN(ABS(F320-$B$277), ABS(F320-180-$B$277), ABS(F320+180-$B$277))</f>
        <v>7.61909090899999</v>
      </c>
    </row>
    <row r="321" customFormat="false" ht="14.25" hidden="false" customHeight="false" outlineLevel="0" collapsed="false">
      <c r="A321" s="19"/>
      <c r="B321" s="19"/>
      <c r="C321" s="19"/>
      <c r="D321" s="19"/>
      <c r="E321" s="19"/>
      <c r="F321" s="19" t="n">
        <v>90</v>
      </c>
      <c r="G321" s="19" t="n">
        <v>0.0541522</v>
      </c>
      <c r="H321" s="35" t="n">
        <v>0.056497809</v>
      </c>
      <c r="I321" s="19"/>
      <c r="J321" s="19"/>
      <c r="K321" s="15" t="n">
        <f aca="false">MIN(ABS(F321-$B$277), ABS(F321-180-$B$277), ABS(F321+180-$B$277))</f>
        <v>11.71</v>
      </c>
      <c r="L321" s="19"/>
      <c r="M321" s="19"/>
    </row>
    <row r="322" customFormat="false" ht="14.25" hidden="false" customHeight="false" outlineLevel="0" collapsed="false">
      <c r="A322" s="14" t="n">
        <v>20241115</v>
      </c>
      <c r="B322" s="14" t="n">
        <v>-88.75</v>
      </c>
      <c r="C322" s="14" t="n">
        <v>6.92</v>
      </c>
      <c r="D322" s="14" t="n">
        <v>0.29</v>
      </c>
      <c r="E322" s="14" t="n">
        <v>0.29</v>
      </c>
      <c r="F322" s="1" t="n">
        <v>-90</v>
      </c>
      <c r="G322" s="1" t="n">
        <v>0.094703027</v>
      </c>
      <c r="H322" s="34" t="n">
        <v>0.092995535</v>
      </c>
      <c r="K322" s="15" t="n">
        <f aca="false">MIN(ABS(F322-$B$322), ABS(F322-180-$B$322), ABS(F322+180-$B$322))</f>
        <v>1.25</v>
      </c>
      <c r="L322" s="16" t="n">
        <f aca="false" t="array" ref="L322:L322">SQRT(SUMPRODUCT(G322:G366,K322:K366*K322:K366))</f>
        <v>28.2290986969754</v>
      </c>
      <c r="M322" s="3" t="n">
        <f aca="false" t="array" ref="M322:M322">SUMPRODUCT(G322:G366,ABS(K322:K366))</f>
        <v>18.5545505632566</v>
      </c>
    </row>
    <row r="323" customFormat="false" ht="14.25" hidden="false" customHeight="false" outlineLevel="0" collapsed="false">
      <c r="A323" s="1" t="s">
        <v>32</v>
      </c>
      <c r="F323" s="1" t="n">
        <v>-85.909090909</v>
      </c>
      <c r="G323" s="1" t="n">
        <v>0.083410477</v>
      </c>
      <c r="H323" s="34" t="n">
        <v>0.088043927</v>
      </c>
      <c r="K323" s="15" t="n">
        <f aca="false">MIN(ABS(F323-$B$322), ABS(F323-180-$B$322), ABS(F323+180-$B$322))</f>
        <v>2.840909091</v>
      </c>
    </row>
    <row r="324" customFormat="false" ht="14.25" hidden="false" customHeight="false" outlineLevel="0" collapsed="false">
      <c r="F324" s="1" t="n">
        <v>-81.818181818</v>
      </c>
      <c r="G324" s="1" t="n">
        <v>0.068730292</v>
      </c>
      <c r="H324" s="34" t="n">
        <v>0.0639044</v>
      </c>
      <c r="K324" s="15" t="n">
        <f aca="false">MIN(ABS(F324-$B$322), ABS(F324-180-$B$322), ABS(F324+180-$B$322))</f>
        <v>6.931818182</v>
      </c>
    </row>
    <row r="325" customFormat="false" ht="14.25" hidden="false" customHeight="false" outlineLevel="0" collapsed="false">
      <c r="F325" s="1" t="n">
        <v>-77.727272727</v>
      </c>
      <c r="G325" s="1" t="n">
        <v>0.039031103</v>
      </c>
      <c r="H325" s="34" t="n">
        <v>0.038928393</v>
      </c>
      <c r="K325" s="15" t="n">
        <f aca="false">MIN(ABS(F325-$B$322), ABS(F325-180-$B$322), ABS(F325+180-$B$322))</f>
        <v>11.022727273</v>
      </c>
    </row>
    <row r="326" customFormat="false" ht="14.25" hidden="false" customHeight="false" outlineLevel="0" collapsed="false">
      <c r="F326" s="1" t="n">
        <v>-73.636363636</v>
      </c>
      <c r="G326" s="1" t="n">
        <v>0.021968822</v>
      </c>
      <c r="H326" s="34" t="n">
        <v>0.024350762</v>
      </c>
      <c r="K326" s="15" t="n">
        <f aca="false">MIN(ABS(F326-$B$322), ABS(F326-180-$B$322), ABS(F326+180-$B$322))</f>
        <v>15.113636364</v>
      </c>
      <c r="L326" s="1" t="n">
        <f aca="false">C322/L322</f>
        <v>0.245137121602166</v>
      </c>
    </row>
    <row r="327" customFormat="false" ht="14.25" hidden="false" customHeight="false" outlineLevel="0" collapsed="false">
      <c r="F327" s="1" t="n">
        <v>-69.545454545</v>
      </c>
      <c r="G327" s="1" t="n">
        <v>0.013030475</v>
      </c>
      <c r="H327" s="34" t="n">
        <v>0.018887492</v>
      </c>
      <c r="K327" s="15" t="n">
        <f aca="false">MIN(ABS(F327-$B$322), ABS(F327-180-$B$322), ABS(F327+180-$B$322))</f>
        <v>19.204545455</v>
      </c>
    </row>
    <row r="328" customFormat="false" ht="14.25" hidden="false" customHeight="false" outlineLevel="0" collapsed="false">
      <c r="F328" s="1" t="n">
        <v>-65.454545455</v>
      </c>
      <c r="G328" s="1" t="n">
        <v>0.010432875</v>
      </c>
      <c r="H328" s="34" t="n">
        <v>0.017513325</v>
      </c>
      <c r="K328" s="15" t="n">
        <f aca="false">MIN(ABS(F328-$B$322), ABS(F328-180-$B$322), ABS(F328+180-$B$322))</f>
        <v>23.295454545</v>
      </c>
    </row>
    <row r="329" customFormat="false" ht="14.25" hidden="false" customHeight="false" outlineLevel="0" collapsed="false">
      <c r="F329" s="1" t="n">
        <v>-61.363636364</v>
      </c>
      <c r="G329" s="1" t="n">
        <v>0.009328431</v>
      </c>
      <c r="H329" s="34" t="n">
        <v>0.01727659</v>
      </c>
      <c r="K329" s="15" t="n">
        <f aca="false">MIN(ABS(F329-$B$322), ABS(F329-180-$B$322), ABS(F329+180-$B$322))</f>
        <v>27.386363636</v>
      </c>
    </row>
    <row r="330" customFormat="false" ht="14.25" hidden="false" customHeight="false" outlineLevel="0" collapsed="false">
      <c r="F330" s="1" t="n">
        <v>-57.272727273</v>
      </c>
      <c r="G330" s="1" t="n">
        <v>0.008839768</v>
      </c>
      <c r="H330" s="34" t="n">
        <v>0.017248352</v>
      </c>
      <c r="K330" s="15" t="n">
        <f aca="false">MIN(ABS(F330-$B$322), ABS(F330-180-$B$322), ABS(F330+180-$B$322))</f>
        <v>31.477272727</v>
      </c>
    </row>
    <row r="331" customFormat="false" ht="14.25" hidden="false" customHeight="false" outlineLevel="0" collapsed="false">
      <c r="F331" s="1" t="n">
        <v>-53.181818182</v>
      </c>
      <c r="G331" s="1" t="n">
        <v>0.007918619</v>
      </c>
      <c r="H331" s="34" t="n">
        <v>0.017246005</v>
      </c>
      <c r="K331" s="15" t="n">
        <f aca="false">MIN(ABS(F331-$B$322), ABS(F331-180-$B$322), ABS(F331+180-$B$322))</f>
        <v>35.568181818</v>
      </c>
    </row>
    <row r="332" customFormat="false" ht="14.25" hidden="false" customHeight="false" outlineLevel="0" collapsed="false">
      <c r="F332" s="1" t="n">
        <v>-49.090909091</v>
      </c>
      <c r="G332" s="1" t="n">
        <v>0.006817853</v>
      </c>
      <c r="H332" s="34" t="n">
        <v>0.017245869</v>
      </c>
      <c r="K332" s="15" t="n">
        <f aca="false">MIN(ABS(F332-$B$322), ABS(F332-180-$B$322), ABS(F332+180-$B$322))</f>
        <v>39.659090909</v>
      </c>
    </row>
    <row r="333" customFormat="false" ht="14.25" hidden="false" customHeight="false" outlineLevel="0" collapsed="false">
      <c r="F333" s="1" t="n">
        <v>-45</v>
      </c>
      <c r="G333" s="1" t="n">
        <v>0.006084153</v>
      </c>
      <c r="H333" s="34" t="n">
        <v>0.017245863</v>
      </c>
      <c r="K333" s="15" t="n">
        <f aca="false">MIN(ABS(F333-$B$322), ABS(F333-180-$B$322), ABS(F333+180-$B$322))</f>
        <v>43.75</v>
      </c>
    </row>
    <row r="334" customFormat="false" ht="14.25" hidden="false" customHeight="false" outlineLevel="0" collapsed="false">
      <c r="F334" s="1" t="n">
        <v>-40.909090909</v>
      </c>
      <c r="G334" s="1" t="n">
        <v>0.005745053</v>
      </c>
      <c r="H334" s="34" t="n">
        <v>0.017245863</v>
      </c>
      <c r="K334" s="15" t="n">
        <f aca="false">MIN(ABS(F334-$B$322), ABS(F334-180-$B$322), ABS(F334+180-$B$322))</f>
        <v>47.840909091</v>
      </c>
    </row>
    <row r="335" customFormat="false" ht="14.25" hidden="false" customHeight="false" outlineLevel="0" collapsed="false">
      <c r="F335" s="1" t="n">
        <v>-36.818181818</v>
      </c>
      <c r="G335" s="1" t="n">
        <v>0.00586843</v>
      </c>
      <c r="H335" s="34" t="n">
        <v>0.017245863</v>
      </c>
      <c r="K335" s="15" t="n">
        <f aca="false">MIN(ABS(F335-$B$322), ABS(F335-180-$B$322), ABS(F335+180-$B$322))</f>
        <v>51.931818182</v>
      </c>
    </row>
    <row r="336" customFormat="false" ht="14.25" hidden="false" customHeight="false" outlineLevel="0" collapsed="false">
      <c r="F336" s="1" t="n">
        <v>-32.727272727</v>
      </c>
      <c r="G336" s="1" t="n">
        <v>0.005426579</v>
      </c>
      <c r="H336" s="34" t="n">
        <v>0.017245863</v>
      </c>
      <c r="K336" s="15" t="n">
        <f aca="false">MIN(ABS(F336-$B$322), ABS(F336-180-$B$322), ABS(F336+180-$B$322))</f>
        <v>56.022727273</v>
      </c>
    </row>
    <row r="337" customFormat="false" ht="14.25" hidden="false" customHeight="false" outlineLevel="0" collapsed="false">
      <c r="F337" s="1" t="n">
        <v>-28.636363636</v>
      </c>
      <c r="G337" s="1" t="n">
        <v>0.005147947</v>
      </c>
      <c r="H337" s="34" t="n">
        <v>0.017245863</v>
      </c>
      <c r="K337" s="15" t="n">
        <f aca="false">MIN(ABS(F337-$B$322), ABS(F337-180-$B$322), ABS(F337+180-$B$322))</f>
        <v>60.113636364</v>
      </c>
    </row>
    <row r="338" customFormat="false" ht="14.25" hidden="false" customHeight="false" outlineLevel="0" collapsed="false">
      <c r="F338" s="1" t="n">
        <v>-24.545454545</v>
      </c>
      <c r="G338" s="1" t="n">
        <v>0.0050402</v>
      </c>
      <c r="H338" s="34" t="n">
        <v>0.017245863</v>
      </c>
      <c r="K338" s="15" t="n">
        <f aca="false">MIN(ABS(F338-$B$322), ABS(F338-180-$B$322), ABS(F338+180-$B$322))</f>
        <v>64.204545455</v>
      </c>
    </row>
    <row r="339" customFormat="false" ht="14.25" hidden="false" customHeight="false" outlineLevel="0" collapsed="false">
      <c r="F339" s="1" t="n">
        <v>-20.454545455</v>
      </c>
      <c r="G339" s="1" t="n">
        <v>0.005092006</v>
      </c>
      <c r="H339" s="34" t="n">
        <v>0.017245863</v>
      </c>
      <c r="K339" s="15" t="n">
        <f aca="false">MIN(ABS(F339-$B$322), ABS(F339-180-$B$322), ABS(F339+180-$B$322))</f>
        <v>68.295454545</v>
      </c>
    </row>
    <row r="340" customFormat="false" ht="14.25" hidden="false" customHeight="false" outlineLevel="0" collapsed="false">
      <c r="F340" s="1" t="n">
        <v>-16.363636364</v>
      </c>
      <c r="G340" s="1" t="n">
        <v>0.005148765</v>
      </c>
      <c r="H340" s="34" t="n">
        <v>0.017245863</v>
      </c>
      <c r="K340" s="15" t="n">
        <f aca="false">MIN(ABS(F340-$B$322), ABS(F340-180-$B$322), ABS(F340+180-$B$322))</f>
        <v>72.386363636</v>
      </c>
    </row>
    <row r="341" customFormat="false" ht="14.25" hidden="false" customHeight="false" outlineLevel="0" collapsed="false">
      <c r="F341" s="1" t="n">
        <v>-12.272727273</v>
      </c>
      <c r="G341" s="1" t="n">
        <v>0.005296295</v>
      </c>
      <c r="H341" s="34" t="n">
        <v>0.017245863</v>
      </c>
      <c r="K341" s="15" t="n">
        <f aca="false">MIN(ABS(F341-$B$322), ABS(F341-180-$B$322), ABS(F341+180-$B$322))</f>
        <v>76.477272727</v>
      </c>
    </row>
    <row r="342" customFormat="false" ht="14.25" hidden="false" customHeight="false" outlineLevel="0" collapsed="false">
      <c r="F342" s="1" t="n">
        <v>-8.181818182</v>
      </c>
      <c r="G342" s="1" t="n">
        <v>0.005077746</v>
      </c>
      <c r="H342" s="34" t="n">
        <v>0.017245863</v>
      </c>
      <c r="K342" s="15" t="n">
        <f aca="false">MIN(ABS(F342-$B$322), ABS(F342-180-$B$322), ABS(F342+180-$B$322))</f>
        <v>80.568181818</v>
      </c>
    </row>
    <row r="343" customFormat="false" ht="14.25" hidden="false" customHeight="false" outlineLevel="0" collapsed="false">
      <c r="F343" s="1" t="n">
        <v>-4.090909091</v>
      </c>
      <c r="G343" s="1" t="n">
        <v>0.005317731</v>
      </c>
      <c r="H343" s="34" t="n">
        <v>0.017245863</v>
      </c>
      <c r="K343" s="15" t="n">
        <f aca="false">MIN(ABS(F343-$B$322), ABS(F343-180-$B$322), ABS(F343+180-$B$322))</f>
        <v>84.659090909</v>
      </c>
    </row>
    <row r="344" customFormat="false" ht="14.25" hidden="false" customHeight="false" outlineLevel="0" collapsed="false">
      <c r="F344" s="1" t="n">
        <v>0</v>
      </c>
      <c r="G344" s="1" t="n">
        <v>0.006158377</v>
      </c>
      <c r="H344" s="34" t="n">
        <v>0.017245863</v>
      </c>
      <c r="K344" s="15" t="n">
        <f aca="false">MIN(ABS(F344-$B$322), ABS(F344-180-$B$322), ABS(F344+180-$B$322))</f>
        <v>88.75</v>
      </c>
    </row>
    <row r="345" customFormat="false" ht="14.25" hidden="false" customHeight="false" outlineLevel="0" collapsed="false">
      <c r="F345" s="1" t="n">
        <v>4.090909091</v>
      </c>
      <c r="G345" s="1" t="n">
        <v>0.005252901</v>
      </c>
      <c r="H345" s="34" t="n">
        <v>0.017245863</v>
      </c>
      <c r="K345" s="15" t="n">
        <f aca="false">MIN(ABS(F345-$B$322), ABS(F345-180-$B$322), ABS(F345+180-$B$322))</f>
        <v>87.159090909</v>
      </c>
    </row>
    <row r="346" customFormat="false" ht="14.25" hidden="false" customHeight="false" outlineLevel="0" collapsed="false">
      <c r="F346" s="1" t="n">
        <v>8.181818182</v>
      </c>
      <c r="G346" s="1" t="n">
        <v>0.00529199</v>
      </c>
      <c r="H346" s="34" t="n">
        <v>0.017245863</v>
      </c>
      <c r="K346" s="15" t="n">
        <f aca="false">MIN(ABS(F346-$B$322), ABS(F346-180-$B$322), ABS(F346+180-$B$322))</f>
        <v>83.068181818</v>
      </c>
    </row>
    <row r="347" customFormat="false" ht="14.25" hidden="false" customHeight="false" outlineLevel="0" collapsed="false">
      <c r="F347" s="1" t="n">
        <v>12.272727273</v>
      </c>
      <c r="G347" s="1" t="n">
        <v>0.005174806</v>
      </c>
      <c r="H347" s="34" t="n">
        <v>0.017245863</v>
      </c>
      <c r="K347" s="15" t="n">
        <f aca="false">MIN(ABS(F347-$B$322), ABS(F347-180-$B$322), ABS(F347+180-$B$322))</f>
        <v>78.977272727</v>
      </c>
    </row>
    <row r="348" customFormat="false" ht="14.25" hidden="false" customHeight="false" outlineLevel="0" collapsed="false">
      <c r="F348" s="1" t="n">
        <v>16.363636364</v>
      </c>
      <c r="G348" s="1" t="n">
        <v>0.005308739</v>
      </c>
      <c r="H348" s="34" t="n">
        <v>0.017245863</v>
      </c>
      <c r="K348" s="15" t="n">
        <f aca="false">MIN(ABS(F348-$B$322), ABS(F348-180-$B$322), ABS(F348+180-$B$322))</f>
        <v>74.886363636</v>
      </c>
    </row>
    <row r="349" customFormat="false" ht="14.25" hidden="false" customHeight="false" outlineLevel="0" collapsed="false">
      <c r="F349" s="1" t="n">
        <v>20.454545455</v>
      </c>
      <c r="G349" s="1" t="n">
        <v>0.005783031</v>
      </c>
      <c r="H349" s="34" t="n">
        <v>0.017245863</v>
      </c>
      <c r="K349" s="15" t="n">
        <f aca="false">MIN(ABS(F349-$B$322), ABS(F349-180-$B$322), ABS(F349+180-$B$322))</f>
        <v>70.795454545</v>
      </c>
    </row>
    <row r="350" customFormat="false" ht="14.25" hidden="false" customHeight="false" outlineLevel="0" collapsed="false">
      <c r="F350" s="1" t="n">
        <v>24.545454545</v>
      </c>
      <c r="G350" s="1" t="n">
        <v>0.006020299</v>
      </c>
      <c r="H350" s="34" t="n">
        <v>0.017245863</v>
      </c>
      <c r="K350" s="15" t="n">
        <f aca="false">MIN(ABS(F350-$B$322), ABS(F350-180-$B$322), ABS(F350+180-$B$322))</f>
        <v>66.704545455</v>
      </c>
    </row>
    <row r="351" customFormat="false" ht="14.25" hidden="false" customHeight="false" outlineLevel="0" collapsed="false">
      <c r="F351" s="1" t="n">
        <v>28.636363636</v>
      </c>
      <c r="G351" s="1" t="n">
        <v>0.005769829</v>
      </c>
      <c r="H351" s="34" t="n">
        <v>0.017245863</v>
      </c>
      <c r="K351" s="15" t="n">
        <f aca="false">MIN(ABS(F351-$B$322), ABS(F351-180-$B$322), ABS(F351+180-$B$322))</f>
        <v>62.613636364</v>
      </c>
    </row>
    <row r="352" customFormat="false" ht="14.25" hidden="false" customHeight="false" outlineLevel="0" collapsed="false">
      <c r="F352" s="1" t="n">
        <v>32.727272727</v>
      </c>
      <c r="G352" s="1" t="n">
        <v>0.005806943</v>
      </c>
      <c r="H352" s="34" t="n">
        <v>0.017245863</v>
      </c>
      <c r="K352" s="15" t="n">
        <f aca="false">MIN(ABS(F352-$B$322), ABS(F352-180-$B$322), ABS(F352+180-$B$322))</f>
        <v>58.522727273</v>
      </c>
    </row>
    <row r="353" customFormat="false" ht="14.25" hidden="false" customHeight="false" outlineLevel="0" collapsed="false">
      <c r="F353" s="1" t="n">
        <v>36.818181818</v>
      </c>
      <c r="G353" s="1" t="n">
        <v>0.006096115</v>
      </c>
      <c r="H353" s="34" t="n">
        <v>0.017245863</v>
      </c>
      <c r="K353" s="15" t="n">
        <f aca="false">MIN(ABS(F353-$B$322), ABS(F353-180-$B$322), ABS(F353+180-$B$322))</f>
        <v>54.431818182</v>
      </c>
    </row>
    <row r="354" customFormat="false" ht="14.25" hidden="false" customHeight="false" outlineLevel="0" collapsed="false">
      <c r="F354" s="1" t="n">
        <v>40.909090909</v>
      </c>
      <c r="G354" s="1" t="n">
        <v>0.00652915</v>
      </c>
      <c r="H354" s="34" t="n">
        <v>0.017245863</v>
      </c>
      <c r="K354" s="15" t="n">
        <f aca="false">MIN(ABS(F354-$B$322), ABS(F354-180-$B$322), ABS(F354+180-$B$322))</f>
        <v>50.340909091</v>
      </c>
    </row>
    <row r="355" customFormat="false" ht="14.25" hidden="false" customHeight="false" outlineLevel="0" collapsed="false">
      <c r="F355" s="1" t="n">
        <v>45</v>
      </c>
      <c r="G355" s="1" t="n">
        <v>0.007413319</v>
      </c>
      <c r="H355" s="34" t="n">
        <v>0.017245863</v>
      </c>
      <c r="K355" s="15" t="n">
        <f aca="false">MIN(ABS(F355-$B$322), ABS(F355-180-$B$322), ABS(F355+180-$B$322))</f>
        <v>46.25</v>
      </c>
    </row>
    <row r="356" customFormat="false" ht="14.25" hidden="false" customHeight="false" outlineLevel="0" collapsed="false">
      <c r="F356" s="1" t="n">
        <v>49.090909091</v>
      </c>
      <c r="G356" s="1" t="n">
        <v>0.008812641</v>
      </c>
      <c r="H356" s="34" t="n">
        <v>0.017245863</v>
      </c>
      <c r="K356" s="15" t="n">
        <f aca="false">MIN(ABS(F356-$B$322), ABS(F356-180-$B$322), ABS(F356+180-$B$322))</f>
        <v>42.159090909</v>
      </c>
    </row>
    <row r="357" customFormat="false" ht="14.25" hidden="false" customHeight="false" outlineLevel="0" collapsed="false">
      <c r="F357" s="1" t="n">
        <v>53.181818182</v>
      </c>
      <c r="G357" s="1" t="n">
        <v>0.011412495</v>
      </c>
      <c r="H357" s="34" t="n">
        <v>0.017245863</v>
      </c>
      <c r="K357" s="15" t="n">
        <f aca="false">MIN(ABS(F357-$B$322), ABS(F357-180-$B$322), ABS(F357+180-$B$322))</f>
        <v>38.068181818</v>
      </c>
    </row>
    <row r="358" customFormat="false" ht="14.25" hidden="false" customHeight="false" outlineLevel="0" collapsed="false">
      <c r="F358" s="1" t="n">
        <v>57.272727273</v>
      </c>
      <c r="G358" s="1" t="n">
        <v>0.01515177</v>
      </c>
      <c r="H358" s="34" t="n">
        <v>0.017245863</v>
      </c>
      <c r="K358" s="15" t="n">
        <f aca="false">MIN(ABS(F358-$B$322), ABS(F358-180-$B$322), ABS(F358+180-$B$322))</f>
        <v>33.977272727</v>
      </c>
    </row>
    <row r="359" customFormat="false" ht="14.25" hidden="false" customHeight="false" outlineLevel="0" collapsed="false">
      <c r="F359" s="1" t="n">
        <v>61.363636364</v>
      </c>
      <c r="G359" s="1" t="n">
        <v>0.023273215</v>
      </c>
      <c r="H359" s="34" t="n">
        <v>0.017245863</v>
      </c>
      <c r="K359" s="15" t="n">
        <f aca="false">MIN(ABS(F359-$B$322), ABS(F359-180-$B$322), ABS(F359+180-$B$322))</f>
        <v>29.886363636</v>
      </c>
    </row>
    <row r="360" customFormat="false" ht="14.25" hidden="false" customHeight="false" outlineLevel="0" collapsed="false">
      <c r="F360" s="1" t="n">
        <v>65.454545455</v>
      </c>
      <c r="G360" s="1" t="n">
        <v>0.037645708</v>
      </c>
      <c r="H360" s="34" t="n">
        <v>0.017245863</v>
      </c>
      <c r="K360" s="15" t="n">
        <f aca="false">MIN(ABS(F360-$B$322), ABS(F360-180-$B$322), ABS(F360+180-$B$322))</f>
        <v>25.795454545</v>
      </c>
    </row>
    <row r="361" customFormat="false" ht="14.25" hidden="false" customHeight="false" outlineLevel="0" collapsed="false">
      <c r="F361" s="1" t="n">
        <v>69.545454545</v>
      </c>
      <c r="G361" s="1" t="n">
        <v>0.045351607</v>
      </c>
      <c r="H361" s="34" t="n">
        <v>0.017245863</v>
      </c>
      <c r="K361" s="15" t="n">
        <f aca="false">MIN(ABS(F361-$B$322), ABS(F361-180-$B$322), ABS(F361+180-$B$322))</f>
        <v>21.704545455</v>
      </c>
    </row>
    <row r="362" customFormat="false" ht="14.25" hidden="false" customHeight="false" outlineLevel="0" collapsed="false">
      <c r="F362" s="1" t="n">
        <v>73.636363636</v>
      </c>
      <c r="G362" s="1" t="n">
        <v>0.04363795</v>
      </c>
      <c r="H362" s="34" t="n">
        <v>0.017245863</v>
      </c>
      <c r="K362" s="15" t="n">
        <f aca="false">MIN(ABS(F362-$B$322), ABS(F362-180-$B$322), ABS(F362+180-$B$322))</f>
        <v>17.613636364</v>
      </c>
    </row>
    <row r="363" customFormat="false" ht="14.25" hidden="false" customHeight="false" outlineLevel="0" collapsed="false">
      <c r="F363" s="1" t="n">
        <v>77.727272727</v>
      </c>
      <c r="G363" s="1" t="n">
        <v>0.057110902</v>
      </c>
      <c r="H363" s="34" t="n">
        <v>0.017245863</v>
      </c>
      <c r="K363" s="15" t="n">
        <f aca="false">MIN(ABS(F363-$B$322), ABS(F363-180-$B$322), ABS(F363+180-$B$322))</f>
        <v>13.522727273</v>
      </c>
    </row>
    <row r="364" customFormat="false" ht="14.25" hidden="false" customHeight="false" outlineLevel="0" collapsed="false">
      <c r="F364" s="1" t="n">
        <v>81.818181818</v>
      </c>
      <c r="G364" s="1" t="n">
        <v>0.07706674</v>
      </c>
      <c r="H364" s="34" t="n">
        <v>0.017245863</v>
      </c>
      <c r="K364" s="15" t="n">
        <f aca="false">MIN(ABS(F364-$B$322), ABS(F364-180-$B$322), ABS(F364+180-$B$322))</f>
        <v>9.431818182</v>
      </c>
    </row>
    <row r="365" customFormat="false" ht="14.25" hidden="false" customHeight="false" outlineLevel="0" collapsed="false">
      <c r="F365" s="1" t="n">
        <v>85.909090909</v>
      </c>
      <c r="G365" s="1" t="n">
        <v>0.091771797</v>
      </c>
      <c r="H365" s="34" t="n">
        <v>0.017245863</v>
      </c>
      <c r="K365" s="15" t="n">
        <f aca="false">MIN(ABS(F365-$B$322), ABS(F365-180-$B$322), ABS(F365+180-$B$322))</f>
        <v>5.340909091</v>
      </c>
    </row>
    <row r="366" customFormat="false" ht="14.25" hidden="false" customHeight="false" outlineLevel="0" collapsed="false">
      <c r="F366" s="1" t="n">
        <v>90</v>
      </c>
      <c r="G366" s="1" t="n">
        <v>0.094703027</v>
      </c>
      <c r="H366" s="34" t="n">
        <v>0.017245863</v>
      </c>
      <c r="K366" s="15" t="n">
        <f aca="false">MIN(ABS(F366-$B$322), ABS(F366-180-$B$322), ABS(F366+180-$B$322))</f>
        <v>1.25</v>
      </c>
    </row>
  </sheetData>
  <conditionalFormatting sqref="K1:K366">
    <cfRule type="cellIs" priority="2" operator="notBetween" aboveAverage="0" equalAverage="0" bottom="0" percent="0" rank="0" text="" dxfId="2">
      <formula>0</formula>
      <formula>90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66"/>
  <sheetViews>
    <sheetView showFormulas="false" showGridLines="true" showRowColHeaders="true" showZeros="true" rightToLeft="false" tabSelected="false" showOutlineSymbols="true" defaultGridColor="true" view="normal" topLeftCell="A78" colorId="64" zoomScale="100" zoomScaleNormal="100" zoomScalePageLayoutView="100" workbookViewId="0">
      <selection pane="topLeft" activeCell="J107" activeCellId="0" sqref="J107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31.44"/>
    <col collapsed="false" customWidth="true" hidden="false" outlineLevel="0" max="2" min="2" style="1" width="15.22"/>
    <col collapsed="false" customWidth="true" hidden="false" outlineLevel="0" max="3" min="3" style="1" width="10.56"/>
    <col collapsed="false" customWidth="true" hidden="false" outlineLevel="0" max="4" min="4" style="1" width="7.88"/>
    <col collapsed="false" customWidth="true" hidden="false" outlineLevel="0" max="5" min="5" style="1" width="9.44"/>
    <col collapsed="false" customWidth="true" hidden="false" outlineLevel="0" max="6" min="6" style="1" width="13.88"/>
    <col collapsed="false" customWidth="true" hidden="false" outlineLevel="0" max="7" min="7" style="1" width="17.76"/>
    <col collapsed="false" customWidth="true" hidden="false" outlineLevel="0" max="8" min="8" style="34" width="13.34"/>
    <col collapsed="false" customWidth="true" hidden="false" outlineLevel="0" max="9" min="9" style="1" width="19.11"/>
    <col collapsed="false" customWidth="true" hidden="false" outlineLevel="0" max="10" min="10" style="1" width="19.56"/>
    <col collapsed="false" customWidth="true" hidden="false" outlineLevel="0" max="11" min="11" style="1" width="17"/>
    <col collapsed="false" customWidth="true" hidden="false" outlineLevel="0" max="12" min="12" style="1" width="26.88"/>
    <col collapsed="false" customWidth="true" hidden="false" outlineLevel="0" max="13" min="13" style="1" width="25.77"/>
  </cols>
  <sheetData>
    <row r="1" customFormat="false" ht="17.35" hidden="false" customHeight="false" outlineLevel="0" collapsed="false">
      <c r="A1" s="5" t="s">
        <v>0</v>
      </c>
      <c r="B1" s="6" t="s">
        <v>1</v>
      </c>
      <c r="F1" s="18"/>
      <c r="G1" s="18"/>
      <c r="H1" s="28"/>
    </row>
    <row r="2" customFormat="false" ht="14.25" hidden="false" customHeight="false" outlineLevel="0" collapsed="false">
      <c r="F2" s="18"/>
      <c r="G2" s="18"/>
      <c r="H2" s="28"/>
    </row>
    <row r="3" customFormat="false" ht="14.25" hidden="false" customHeight="false" outlineLevel="0" collapsed="false">
      <c r="F3" s="18"/>
      <c r="G3" s="18"/>
      <c r="H3" s="28"/>
      <c r="I3" s="1" t="n">
        <f aca="false">MIN(2, 3, 0)</f>
        <v>0</v>
      </c>
      <c r="K3" s="1" t="s">
        <v>2</v>
      </c>
    </row>
    <row r="4" customFormat="false" ht="14.25" hidden="false" customHeight="false" outlineLevel="0" collapsed="false">
      <c r="A4" s="7" t="s">
        <v>3</v>
      </c>
      <c r="B4" s="1" t="s">
        <v>4</v>
      </c>
      <c r="F4" s="18"/>
      <c r="G4" s="18"/>
      <c r="H4" s="28"/>
      <c r="K4" s="1" t="s">
        <v>5</v>
      </c>
    </row>
    <row r="5" customFormat="false" ht="14.25" hidden="false" customHeight="false" outlineLevel="0" collapsed="false">
      <c r="F5" s="18"/>
      <c r="G5" s="18"/>
      <c r="H5" s="28"/>
      <c r="I5" s="1" t="s">
        <v>19</v>
      </c>
      <c r="J5" s="1" t="s">
        <v>19</v>
      </c>
      <c r="K5" s="1" t="s">
        <v>20</v>
      </c>
      <c r="L5" s="1" t="s">
        <v>20</v>
      </c>
      <c r="M5" s="1" t="s">
        <v>20</v>
      </c>
    </row>
    <row r="6" customFormat="false" ht="14.25" hidden="false" customHeight="false" outlineLevel="0" collapsed="false">
      <c r="A6" s="8" t="s">
        <v>6</v>
      </c>
      <c r="B6" s="8" t="s">
        <v>7</v>
      </c>
      <c r="C6" s="8" t="s">
        <v>16</v>
      </c>
      <c r="D6" s="8" t="s">
        <v>14</v>
      </c>
      <c r="E6" s="8" t="s">
        <v>17</v>
      </c>
      <c r="F6" s="29" t="s">
        <v>7</v>
      </c>
      <c r="G6" s="29" t="s">
        <v>21</v>
      </c>
      <c r="H6" s="29" t="s">
        <v>9</v>
      </c>
      <c r="I6" s="30" t="s">
        <v>22</v>
      </c>
      <c r="J6" s="31" t="s">
        <v>23</v>
      </c>
      <c r="K6" s="12" t="s">
        <v>10</v>
      </c>
      <c r="L6" s="1" t="s">
        <v>24</v>
      </c>
      <c r="M6" s="1" t="s">
        <v>25</v>
      </c>
    </row>
    <row r="7" customFormat="false" ht="14.25" hidden="false" customHeight="false" outlineLevel="0" collapsed="false">
      <c r="A7" s="14" t="n">
        <v>20241115</v>
      </c>
      <c r="B7" s="14" t="n">
        <v>-118.23</v>
      </c>
      <c r="C7" s="14" t="s">
        <v>33</v>
      </c>
      <c r="D7" s="14" t="s">
        <v>34</v>
      </c>
      <c r="E7" s="14" t="s">
        <v>30</v>
      </c>
      <c r="F7" s="1" t="n">
        <v>-90</v>
      </c>
      <c r="G7" s="1" t="n">
        <v>0.149750475</v>
      </c>
      <c r="H7" s="34" t="n">
        <v>0.149196666</v>
      </c>
      <c r="K7" s="15" t="n">
        <f aca="false">MIN(ABS(F7-$B$7), ABS(F7-180-$B$7), ABS(F7+180-$B$7))</f>
        <v>28.23</v>
      </c>
      <c r="L7" s="16" t="n">
        <f aca="false" t="array" ref="L7:L7">SQRT(SUMPRODUCT(G7:G51,K7:K51*K7:K51))</f>
        <v>36.0936189761272</v>
      </c>
      <c r="M7" s="3" t="n">
        <f aca="false" t="array" ref="M7:M7">SUMPRODUCT(G7:G51,ABS(K7:K51))</f>
        <v>31.9387363534553</v>
      </c>
    </row>
    <row r="8" customFormat="false" ht="14.25" hidden="false" customHeight="false" outlineLevel="0" collapsed="false">
      <c r="A8" s="1" t="s">
        <v>35</v>
      </c>
      <c r="F8" s="1" t="n">
        <v>-85.909090909</v>
      </c>
      <c r="G8" s="1" t="n">
        <v>0.089567361</v>
      </c>
      <c r="H8" s="34" t="n">
        <v>0.091121917</v>
      </c>
      <c r="K8" s="15" t="n">
        <f aca="false">MIN(ABS(F8-$B$7), ABS(F8-180-$B$7), ABS(F8+180-$B$7))</f>
        <v>32.320909091</v>
      </c>
    </row>
    <row r="9" customFormat="false" ht="14.25" hidden="false" customHeight="false" outlineLevel="0" collapsed="false">
      <c r="F9" s="1" t="n">
        <v>-81.818181818</v>
      </c>
      <c r="G9" s="1" t="n">
        <v>0.054449915</v>
      </c>
      <c r="H9" s="34" t="n">
        <v>0.05521014</v>
      </c>
      <c r="K9" s="15" t="n">
        <f aca="false">MIN(ABS(F9-$B$7), ABS(F9-180-$B$7), ABS(F9+180-$B$7))</f>
        <v>36.411818182</v>
      </c>
    </row>
    <row r="10" customFormat="false" ht="14.25" hidden="false" customHeight="false" outlineLevel="0" collapsed="false">
      <c r="F10" s="1" t="n">
        <v>-77.727272727</v>
      </c>
      <c r="G10" s="1" t="n">
        <v>0.03924918</v>
      </c>
      <c r="H10" s="34" t="n">
        <v>0.034938403</v>
      </c>
      <c r="K10" s="15" t="n">
        <f aca="false">MIN(ABS(F10-$B$7), ABS(F10-180-$B$7), ABS(F10+180-$B$7))</f>
        <v>40.502727273</v>
      </c>
    </row>
    <row r="11" customFormat="false" ht="14.25" hidden="false" customHeight="false" outlineLevel="0" collapsed="false">
      <c r="F11" s="1" t="n">
        <v>-73.636363636</v>
      </c>
      <c r="G11" s="1" t="n">
        <v>0.025202886</v>
      </c>
      <c r="H11" s="34" t="n">
        <v>0.024462186</v>
      </c>
      <c r="K11" s="15" t="n">
        <f aca="false">MIN(ABS(F11-$B$7), ABS(F11-180-$B$7), ABS(F11+180-$B$7))</f>
        <v>44.593636364</v>
      </c>
    </row>
    <row r="12" customFormat="false" ht="14.25" hidden="false" customHeight="false" outlineLevel="0" collapsed="false">
      <c r="F12" s="1" t="n">
        <v>-69.545454545</v>
      </c>
      <c r="G12" s="1" t="n">
        <v>0.018223459</v>
      </c>
      <c r="H12" s="34" t="n">
        <v>0.019495288</v>
      </c>
      <c r="K12" s="15" t="n">
        <f aca="false">MIN(ABS(F12-$B$7), ABS(F12-180-$B$7), ABS(F12+180-$B$7))</f>
        <v>48.684545455</v>
      </c>
    </row>
    <row r="13" customFormat="false" ht="14.25" hidden="false" customHeight="false" outlineLevel="0" collapsed="false">
      <c r="F13" s="1" t="n">
        <v>-65.454545455</v>
      </c>
      <c r="G13" s="1" t="n">
        <v>0.012957901</v>
      </c>
      <c r="H13" s="34" t="n">
        <v>0.017331516</v>
      </c>
      <c r="K13" s="15" t="n">
        <f aca="false">MIN(ABS(F13-$B$7), ABS(F13-180-$B$7), ABS(F13+180-$B$7))</f>
        <v>52.775454545</v>
      </c>
    </row>
    <row r="14" customFormat="false" ht="14.25" hidden="false" customHeight="false" outlineLevel="0" collapsed="false">
      <c r="F14" s="1" t="n">
        <v>-61.363636364</v>
      </c>
      <c r="G14" s="1" t="n">
        <v>0.010171813</v>
      </c>
      <c r="H14" s="34" t="n">
        <v>0.01646435</v>
      </c>
      <c r="K14" s="15" t="n">
        <f aca="false">MIN(ABS(F14-$B$7), ABS(F14-180-$B$7), ABS(F14+180-$B$7))</f>
        <v>56.866363636</v>
      </c>
    </row>
    <row r="15" customFormat="false" ht="14.25" hidden="false" customHeight="false" outlineLevel="0" collapsed="false">
      <c r="F15" s="1" t="n">
        <v>-57.272727273</v>
      </c>
      <c r="G15" s="1" t="n">
        <v>0.008606386</v>
      </c>
      <c r="H15" s="34" t="n">
        <v>0.016144339</v>
      </c>
      <c r="K15" s="15" t="n">
        <f aca="false">MIN(ABS(F15-$B$7), ABS(F15-180-$B$7), ABS(F15+180-$B$7))</f>
        <v>60.957272727</v>
      </c>
    </row>
    <row r="16" customFormat="false" ht="14.25" hidden="false" customHeight="false" outlineLevel="0" collapsed="false">
      <c r="F16" s="1" t="n">
        <v>-53.181818182</v>
      </c>
      <c r="G16" s="1" t="n">
        <v>0.006910348</v>
      </c>
      <c r="H16" s="34" t="n">
        <v>0.016035515</v>
      </c>
      <c r="K16" s="15" t="n">
        <f aca="false">MIN(ABS(F16-$B$7), ABS(F16-180-$B$7), ABS(F16+180-$B$7))</f>
        <v>65.048181818</v>
      </c>
    </row>
    <row r="17" customFormat="false" ht="14.25" hidden="false" customHeight="false" outlineLevel="0" collapsed="false">
      <c r="F17" s="1" t="n">
        <v>-49.090909091</v>
      </c>
      <c r="G17" s="1" t="n">
        <v>0.00614336</v>
      </c>
      <c r="H17" s="34" t="n">
        <v>0.016001392</v>
      </c>
      <c r="K17" s="15" t="n">
        <f aca="false">MIN(ABS(F17-$B$7), ABS(F17-180-$B$7), ABS(F17+180-$B$7))</f>
        <v>69.139090909</v>
      </c>
    </row>
    <row r="18" customFormat="false" ht="14.25" hidden="false" customHeight="false" outlineLevel="0" collapsed="false">
      <c r="F18" s="1" t="n">
        <v>-45</v>
      </c>
      <c r="G18" s="1" t="n">
        <v>0.005898755</v>
      </c>
      <c r="H18" s="34" t="n">
        <v>0.015991522</v>
      </c>
      <c r="K18" s="15" t="n">
        <f aca="false">MIN(ABS(F18-$B$7), ABS(F18-180-$B$7), ABS(F18+180-$B$7))</f>
        <v>73.23</v>
      </c>
    </row>
    <row r="19" customFormat="false" ht="14.25" hidden="false" customHeight="false" outlineLevel="0" collapsed="false">
      <c r="F19" s="1" t="n">
        <v>-40.909090909</v>
      </c>
      <c r="G19" s="1" t="n">
        <v>0.005706496</v>
      </c>
      <c r="H19" s="34" t="n">
        <v>0.015988887</v>
      </c>
      <c r="K19" s="15" t="n">
        <f aca="false">MIN(ABS(F19-$B$7), ABS(F19-180-$B$7), ABS(F19+180-$B$7))</f>
        <v>77.320909091</v>
      </c>
    </row>
    <row r="20" customFormat="false" ht="14.25" hidden="false" customHeight="false" outlineLevel="0" collapsed="false">
      <c r="F20" s="1" t="n">
        <v>-36.818181818</v>
      </c>
      <c r="G20" s="1" t="n">
        <v>0.005715074</v>
      </c>
      <c r="H20" s="34" t="n">
        <v>0.015988238</v>
      </c>
      <c r="K20" s="15" t="n">
        <f aca="false">MIN(ABS(F20-$B$7), ABS(F20-180-$B$7), ABS(F20+180-$B$7))</f>
        <v>81.411818182</v>
      </c>
    </row>
    <row r="21" customFormat="false" ht="14.25" hidden="false" customHeight="false" outlineLevel="0" collapsed="false">
      <c r="F21" s="1" t="n">
        <v>-32.727272727</v>
      </c>
      <c r="G21" s="1" t="n">
        <v>0.005387176</v>
      </c>
      <c r="H21" s="34" t="n">
        <v>0.01598809</v>
      </c>
      <c r="K21" s="15" t="n">
        <f aca="false">MIN(ABS(F21-$B$7), ABS(F21-180-$B$7), ABS(F21+180-$B$7))</f>
        <v>85.502727273</v>
      </c>
      <c r="L21" s="15"/>
    </row>
    <row r="22" customFormat="false" ht="14.25" hidden="false" customHeight="false" outlineLevel="0" collapsed="false">
      <c r="F22" s="1" t="n">
        <v>-28.636363636</v>
      </c>
      <c r="G22" s="1" t="n">
        <v>0.005096214</v>
      </c>
      <c r="H22" s="34" t="n">
        <v>0.015988059</v>
      </c>
      <c r="K22" s="15" t="n">
        <f aca="false">MIN(ABS(F22-$B$7), ABS(F22-180-$B$7), ABS(F22+180-$B$7))</f>
        <v>89.593636364</v>
      </c>
    </row>
    <row r="23" customFormat="false" ht="14.25" hidden="false" customHeight="false" outlineLevel="0" collapsed="false">
      <c r="F23" s="1" t="n">
        <v>-24.545454545</v>
      </c>
      <c r="G23" s="1" t="n">
        <v>0.004834873</v>
      </c>
      <c r="H23" s="34" t="n">
        <v>0.015988053</v>
      </c>
      <c r="K23" s="15" t="n">
        <f aca="false">MIN(ABS(F23-$B$7), ABS(F23-180-$B$7), ABS(F23+180-$B$7))</f>
        <v>86.315454545</v>
      </c>
    </row>
    <row r="24" customFormat="false" ht="14.25" hidden="false" customHeight="false" outlineLevel="0" collapsed="false">
      <c r="F24" s="1" t="n">
        <v>-20.454545455</v>
      </c>
      <c r="G24" s="1" t="n">
        <v>0.005303335</v>
      </c>
      <c r="H24" s="34" t="n">
        <v>0.015988052</v>
      </c>
      <c r="K24" s="15" t="n">
        <f aca="false">MIN(ABS(F24-$B$7), ABS(F24-180-$B$7), ABS(F24+180-$B$7))</f>
        <v>82.224545455</v>
      </c>
    </row>
    <row r="25" customFormat="false" ht="14.25" hidden="false" customHeight="false" outlineLevel="0" collapsed="false">
      <c r="F25" s="1" t="n">
        <v>-16.363636364</v>
      </c>
      <c r="G25" s="1" t="n">
        <v>0.004539192</v>
      </c>
      <c r="H25" s="34" t="n">
        <v>0.015988051</v>
      </c>
      <c r="K25" s="15" t="n">
        <f aca="false">MIN(ABS(F25-$B$7), ABS(F25-180-$B$7), ABS(F25+180-$B$7))</f>
        <v>78.133636364</v>
      </c>
    </row>
    <row r="26" customFormat="false" ht="14.25" hidden="false" customHeight="false" outlineLevel="0" collapsed="false">
      <c r="F26" s="1" t="n">
        <v>-12.272727273</v>
      </c>
      <c r="G26" s="1" t="n">
        <v>0.005048776</v>
      </c>
      <c r="H26" s="34" t="n">
        <v>0.015988051</v>
      </c>
      <c r="K26" s="15" t="n">
        <f aca="false">MIN(ABS(F26-$B$7), ABS(F26-180-$B$7), ABS(F26+180-$B$7))</f>
        <v>74.042727273</v>
      </c>
    </row>
    <row r="27" customFormat="false" ht="14.25" hidden="false" customHeight="false" outlineLevel="0" collapsed="false">
      <c r="F27" s="1" t="n">
        <v>-8.181818182</v>
      </c>
      <c r="G27" s="1" t="n">
        <v>0.00555447</v>
      </c>
      <c r="H27" s="34" t="n">
        <v>0.015988051</v>
      </c>
      <c r="K27" s="15" t="n">
        <f aca="false">MIN(ABS(F27-$B$7), ABS(F27-180-$B$7), ABS(F27+180-$B$7))</f>
        <v>69.951818182</v>
      </c>
    </row>
    <row r="28" customFormat="false" ht="14.25" hidden="false" customHeight="false" outlineLevel="0" collapsed="false">
      <c r="F28" s="1" t="n">
        <v>-4.090909091</v>
      </c>
      <c r="G28" s="1" t="n">
        <v>0.005321844</v>
      </c>
      <c r="H28" s="34" t="n">
        <v>0.015988051</v>
      </c>
      <c r="K28" s="15" t="n">
        <f aca="false">MIN(ABS(F28-$B$7), ABS(F28-180-$B$7), ABS(F28+180-$B$7))</f>
        <v>65.860909091</v>
      </c>
    </row>
    <row r="29" customFormat="false" ht="14.25" hidden="false" customHeight="false" outlineLevel="0" collapsed="false">
      <c r="F29" s="1" t="n">
        <v>0</v>
      </c>
      <c r="G29" s="1" t="n">
        <v>0.006950216</v>
      </c>
      <c r="H29" s="34" t="n">
        <v>0.015988051</v>
      </c>
      <c r="K29" s="15" t="n">
        <f aca="false">MIN(ABS(F29-$B$7), ABS(F29-180-$B$7), ABS(F29+180-$B$7))</f>
        <v>61.77</v>
      </c>
    </row>
    <row r="30" customFormat="false" ht="14.25" hidden="false" customHeight="false" outlineLevel="0" collapsed="false">
      <c r="F30" s="1" t="n">
        <v>4.090909091</v>
      </c>
      <c r="G30" s="1" t="n">
        <v>0.005345033</v>
      </c>
      <c r="H30" s="34" t="n">
        <v>0.015988051</v>
      </c>
      <c r="K30" s="15" t="n">
        <f aca="false">MIN(ABS(F30-$B$7), ABS(F30-180-$B$7), ABS(F30+180-$B$7))</f>
        <v>57.679090909</v>
      </c>
    </row>
    <row r="31" customFormat="false" ht="14.25" hidden="false" customHeight="false" outlineLevel="0" collapsed="false">
      <c r="F31" s="1" t="n">
        <v>8.181818182</v>
      </c>
      <c r="G31" s="1" t="n">
        <v>0.005750131</v>
      </c>
      <c r="H31" s="34" t="n">
        <v>0.015988051</v>
      </c>
      <c r="K31" s="15" t="n">
        <f aca="false">MIN(ABS(F31-$B$7), ABS(F31-180-$B$7), ABS(F31+180-$B$7))</f>
        <v>53.588181818</v>
      </c>
    </row>
    <row r="32" customFormat="false" ht="14.25" hidden="false" customHeight="false" outlineLevel="0" collapsed="false">
      <c r="F32" s="1" t="n">
        <v>12.272727273</v>
      </c>
      <c r="G32" s="1" t="n">
        <v>0.004901614</v>
      </c>
      <c r="H32" s="34" t="n">
        <v>0.015988051</v>
      </c>
      <c r="K32" s="15" t="n">
        <f aca="false">MIN(ABS(F32-$B$7), ABS(F32-180-$B$7), ABS(F32+180-$B$7))</f>
        <v>49.497272727</v>
      </c>
    </row>
    <row r="33" customFormat="false" ht="14.25" hidden="false" customHeight="false" outlineLevel="0" collapsed="false">
      <c r="F33" s="1" t="n">
        <v>16.363636364</v>
      </c>
      <c r="G33" s="1" t="n">
        <v>0.004867671</v>
      </c>
      <c r="H33" s="34" t="n">
        <v>0.015988051</v>
      </c>
      <c r="K33" s="15" t="n">
        <f aca="false">MIN(ABS(F33-$B$7), ABS(F33-180-$B$7), ABS(F33+180-$B$7))</f>
        <v>45.406363636</v>
      </c>
    </row>
    <row r="34" customFormat="false" ht="14.25" hidden="false" customHeight="false" outlineLevel="0" collapsed="false">
      <c r="F34" s="1" t="n">
        <v>20.454545455</v>
      </c>
      <c r="G34" s="1" t="n">
        <v>0.004690557</v>
      </c>
      <c r="H34" s="34" t="n">
        <v>0.015988051</v>
      </c>
      <c r="K34" s="15" t="n">
        <f aca="false">MIN(ABS(F34-$B$7), ABS(F34-180-$B$7), ABS(F34+180-$B$7))</f>
        <v>41.315454545</v>
      </c>
    </row>
    <row r="35" customFormat="false" ht="14.25" hidden="false" customHeight="false" outlineLevel="0" collapsed="false">
      <c r="F35" s="1" t="n">
        <v>24.545454545</v>
      </c>
      <c r="G35" s="1" t="n">
        <v>0.004727733</v>
      </c>
      <c r="H35" s="34" t="n">
        <v>0.015988051</v>
      </c>
      <c r="K35" s="15" t="n">
        <f aca="false">MIN(ABS(F35-$B$7), ABS(F35-180-$B$7), ABS(F35+180-$B$7))</f>
        <v>37.224545455</v>
      </c>
    </row>
    <row r="36" customFormat="false" ht="14.25" hidden="false" customHeight="false" outlineLevel="0" collapsed="false">
      <c r="F36" s="1" t="n">
        <v>28.636363636</v>
      </c>
      <c r="G36" s="1" t="n">
        <v>0.004559681</v>
      </c>
      <c r="H36" s="34" t="n">
        <v>0.015988051</v>
      </c>
      <c r="K36" s="15" t="n">
        <f aca="false">MIN(ABS(F36-$B$7), ABS(F36-180-$B$7), ABS(F36+180-$B$7))</f>
        <v>33.133636364</v>
      </c>
    </row>
    <row r="37" customFormat="false" ht="14.25" hidden="false" customHeight="false" outlineLevel="0" collapsed="false">
      <c r="F37" s="1" t="n">
        <v>32.727272727</v>
      </c>
      <c r="G37" s="1" t="n">
        <v>0.004592785</v>
      </c>
      <c r="H37" s="34" t="n">
        <v>0.015988051</v>
      </c>
      <c r="K37" s="15" t="n">
        <f aca="false">MIN(ABS(F37-$B$7), ABS(F37-180-$B$7), ABS(F37+180-$B$7))</f>
        <v>29.042727273</v>
      </c>
    </row>
    <row r="38" customFormat="false" ht="14.25" hidden="false" customHeight="false" outlineLevel="0" collapsed="false">
      <c r="F38" s="1" t="n">
        <v>36.818181818</v>
      </c>
      <c r="G38" s="1" t="n">
        <v>0.0048071</v>
      </c>
      <c r="H38" s="34" t="n">
        <v>0.015988051</v>
      </c>
      <c r="K38" s="15" t="n">
        <f aca="false">MIN(ABS(F38-$B$7), ABS(F38-180-$B$7), ABS(F38+180-$B$7))</f>
        <v>24.951818182</v>
      </c>
    </row>
    <row r="39" customFormat="false" ht="14.25" hidden="false" customHeight="false" outlineLevel="0" collapsed="false">
      <c r="F39" s="1" t="n">
        <v>40.909090909</v>
      </c>
      <c r="G39" s="1" t="n">
        <v>0.005231327</v>
      </c>
      <c r="H39" s="34" t="n">
        <v>0.015988051</v>
      </c>
      <c r="K39" s="15" t="n">
        <f aca="false">MIN(ABS(F39-$B$7), ABS(F39-180-$B$7), ABS(F39+180-$B$7))</f>
        <v>20.860909091</v>
      </c>
    </row>
    <row r="40" customFormat="false" ht="14.25" hidden="false" customHeight="false" outlineLevel="0" collapsed="false">
      <c r="F40" s="1" t="n">
        <v>45</v>
      </c>
      <c r="G40" s="1" t="n">
        <v>0.006023979</v>
      </c>
      <c r="H40" s="34" t="n">
        <v>0.015988051</v>
      </c>
      <c r="K40" s="15" t="n">
        <f aca="false">MIN(ABS(F40-$B$7), ABS(F40-180-$B$7), ABS(F40+180-$B$7))</f>
        <v>16.77</v>
      </c>
    </row>
    <row r="41" customFormat="false" ht="14.25" hidden="false" customHeight="false" outlineLevel="0" collapsed="false">
      <c r="F41" s="1" t="n">
        <v>49.090909091</v>
      </c>
      <c r="G41" s="1" t="n">
        <v>0.006411974</v>
      </c>
      <c r="H41" s="34" t="n">
        <v>0.015988051</v>
      </c>
      <c r="K41" s="15" t="n">
        <f aca="false">MIN(ABS(F41-$B$7), ABS(F41-180-$B$7), ABS(F41+180-$B$7))</f>
        <v>12.679090909</v>
      </c>
    </row>
    <row r="42" customFormat="false" ht="14.25" hidden="false" customHeight="false" outlineLevel="0" collapsed="false">
      <c r="F42" s="1" t="n">
        <v>53.181818182</v>
      </c>
      <c r="G42" s="1" t="n">
        <v>0.00717491</v>
      </c>
      <c r="H42" s="34" t="n">
        <v>0.015988051</v>
      </c>
      <c r="K42" s="15" t="n">
        <f aca="false">MIN(ABS(F42-$B$7), ABS(F42-180-$B$7), ABS(F42+180-$B$7))</f>
        <v>8.588181818</v>
      </c>
    </row>
    <row r="43" customFormat="false" ht="14.25" hidden="false" customHeight="false" outlineLevel="0" collapsed="false">
      <c r="F43" s="1" t="n">
        <v>57.272727273</v>
      </c>
      <c r="G43" s="1" t="n">
        <v>0.007783913</v>
      </c>
      <c r="H43" s="34" t="n">
        <v>0.015988051</v>
      </c>
      <c r="K43" s="15" t="n">
        <f aca="false">MIN(ABS(F43-$B$7), ABS(F43-180-$B$7), ABS(F43+180-$B$7))</f>
        <v>4.497272727</v>
      </c>
    </row>
    <row r="44" customFormat="false" ht="14.25" hidden="false" customHeight="false" outlineLevel="0" collapsed="false">
      <c r="F44" s="1" t="n">
        <v>61.363636364</v>
      </c>
      <c r="G44" s="1" t="n">
        <v>0.010938674</v>
      </c>
      <c r="H44" s="34" t="n">
        <v>0.015988051</v>
      </c>
      <c r="K44" s="15" t="n">
        <f aca="false">MIN(ABS(F44-$B$7), ABS(F44-180-$B$7), ABS(F44+180-$B$7))</f>
        <v>0.406363635999995</v>
      </c>
    </row>
    <row r="45" customFormat="false" ht="14.25" hidden="false" customHeight="false" outlineLevel="0" collapsed="false">
      <c r="F45" s="1" t="n">
        <v>65.454545455</v>
      </c>
      <c r="G45" s="1" t="n">
        <v>0.015130459</v>
      </c>
      <c r="H45" s="34" t="n">
        <v>0.015988051</v>
      </c>
      <c r="K45" s="15" t="n">
        <f aca="false">MIN(ABS(F45-$B$7), ABS(F45-180-$B$7), ABS(F45+180-$B$7))</f>
        <v>3.68454545500001</v>
      </c>
    </row>
    <row r="46" customFormat="false" ht="14.25" hidden="false" customHeight="false" outlineLevel="0" collapsed="false">
      <c r="F46" s="1" t="n">
        <v>69.545454545</v>
      </c>
      <c r="G46" s="1" t="n">
        <v>0.020127091</v>
      </c>
      <c r="H46" s="34" t="n">
        <v>0.015988051</v>
      </c>
      <c r="K46" s="15" t="n">
        <f aca="false">MIN(ABS(F46-$B$7), ABS(F46-180-$B$7), ABS(F46+180-$B$7))</f>
        <v>7.775454545</v>
      </c>
    </row>
    <row r="47" customFormat="false" ht="14.25" hidden="false" customHeight="false" outlineLevel="0" collapsed="false">
      <c r="F47" s="1" t="n">
        <v>73.636363636</v>
      </c>
      <c r="G47" s="1" t="n">
        <v>0.027131701</v>
      </c>
      <c r="H47" s="34" t="n">
        <v>0.015988051</v>
      </c>
      <c r="K47" s="15" t="n">
        <f aca="false">MIN(ABS(F47-$B$7), ABS(F47-180-$B$7), ABS(F47+180-$B$7))</f>
        <v>11.866363636</v>
      </c>
    </row>
    <row r="48" customFormat="false" ht="14.25" hidden="false" customHeight="false" outlineLevel="0" collapsed="false">
      <c r="F48" s="1" t="n">
        <v>77.727272727</v>
      </c>
      <c r="G48" s="1" t="n">
        <v>0.038667449</v>
      </c>
      <c r="H48" s="34" t="n">
        <v>0.015988051</v>
      </c>
      <c r="K48" s="15" t="n">
        <f aca="false">MIN(ABS(F48-$B$7), ABS(F48-180-$B$7), ABS(F48+180-$B$7))</f>
        <v>15.957272727</v>
      </c>
    </row>
    <row r="49" s="19" customFormat="true" ht="14.25" hidden="false" customHeight="false" outlineLevel="0" collapsed="false">
      <c r="A49" s="1"/>
      <c r="B49" s="1"/>
      <c r="C49" s="1"/>
      <c r="D49" s="1"/>
      <c r="E49" s="1"/>
      <c r="F49" s="1" t="n">
        <v>81.818181818</v>
      </c>
      <c r="G49" s="1" t="n">
        <v>0.068201275</v>
      </c>
      <c r="H49" s="34" t="n">
        <v>0.015988051</v>
      </c>
      <c r="I49" s="1"/>
      <c r="J49" s="1"/>
      <c r="K49" s="15" t="n">
        <f aca="false">MIN(ABS(F49-$B$7), ABS(F49-180-$B$7), ABS(F49+180-$B$7))</f>
        <v>20.048181818</v>
      </c>
      <c r="L49" s="1"/>
      <c r="M49" s="1"/>
    </row>
    <row r="50" customFormat="false" ht="14.25" hidden="false" customHeight="false" outlineLevel="0" collapsed="false">
      <c r="F50" s="1" t="n">
        <v>85.909090909</v>
      </c>
      <c r="G50" s="1" t="n">
        <v>0.10659496</v>
      </c>
      <c r="H50" s="34" t="n">
        <v>0.015988051</v>
      </c>
      <c r="K50" s="15" t="n">
        <f aca="false">MIN(ABS(F50-$B$7), ABS(F50-180-$B$7), ABS(F50+180-$B$7))</f>
        <v>24.139090909</v>
      </c>
    </row>
    <row r="51" customFormat="false" ht="14.25" hidden="false" customHeight="false" outlineLevel="0" collapsed="false">
      <c r="A51" s="19"/>
      <c r="B51" s="19"/>
      <c r="C51" s="19"/>
      <c r="D51" s="19"/>
      <c r="E51" s="19"/>
      <c r="F51" s="19" t="n">
        <v>90</v>
      </c>
      <c r="G51" s="19" t="n">
        <v>0.149750475</v>
      </c>
      <c r="H51" s="35" t="n">
        <v>0.015988051</v>
      </c>
      <c r="I51" s="19"/>
      <c r="J51" s="19"/>
      <c r="K51" s="15" t="n">
        <f aca="false">MIN(ABS(F51-$B$7), ABS(F51-180-$B$7), ABS(F51+180-$B$7))</f>
        <v>28.23</v>
      </c>
      <c r="L51" s="19"/>
      <c r="M51" s="19"/>
    </row>
    <row r="52" customFormat="false" ht="14.25" hidden="false" customHeight="false" outlineLevel="0" collapsed="false">
      <c r="A52" s="14" t="n">
        <v>20241115</v>
      </c>
      <c r="B52" s="14" t="n">
        <v>77.92</v>
      </c>
      <c r="C52" s="14" t="s">
        <v>36</v>
      </c>
      <c r="D52" s="14" t="s">
        <v>37</v>
      </c>
      <c r="E52" s="14" t="s">
        <v>38</v>
      </c>
      <c r="F52" s="1" t="n">
        <v>-90</v>
      </c>
      <c r="G52" s="1" t="n">
        <v>0.053897682</v>
      </c>
      <c r="H52" s="34" t="n">
        <v>0.01261566</v>
      </c>
      <c r="K52" s="15" t="n">
        <f aca="false">MIN(ABS(F52-$B$52), ABS(F52-180-$B$52), ABS(F52+180-$B$52))</f>
        <v>12.08</v>
      </c>
      <c r="L52" s="16" t="n">
        <f aca="false" t="array" ref="L52:L52">SQRT(SUMPRODUCT(G52:G96,K52:K96*K52:K96))</f>
        <v>32.0488230065428</v>
      </c>
      <c r="M52" s="3" t="n">
        <f aca="false" t="array" ref="M52:M52">SUMPRODUCT(G52:G96,ABS(K52:K96))</f>
        <v>22.5893558306089</v>
      </c>
    </row>
    <row r="53" customFormat="false" ht="14.25" hidden="false" customHeight="false" outlineLevel="0" collapsed="false">
      <c r="A53" s="1" t="s">
        <v>39</v>
      </c>
      <c r="F53" s="1" t="n">
        <v>-85.909090909</v>
      </c>
      <c r="G53" s="1" t="n">
        <v>0.03427518</v>
      </c>
      <c r="H53" s="34" t="n">
        <v>0.01261566</v>
      </c>
      <c r="K53" s="15" t="n">
        <f aca="false">MIN(ABS(F53-$B$52), ABS(F53-180-$B$52), ABS(F53+180-$B$52))</f>
        <v>16.170909091</v>
      </c>
    </row>
    <row r="54" customFormat="false" ht="14.25" hidden="false" customHeight="false" outlineLevel="0" collapsed="false">
      <c r="F54" s="1" t="n">
        <v>-81.818181818</v>
      </c>
      <c r="G54" s="1" t="n">
        <v>0.024465263</v>
      </c>
      <c r="H54" s="34" t="n">
        <v>0.01261566</v>
      </c>
      <c r="K54" s="15" t="n">
        <f aca="false">MIN(ABS(F54-$B$52), ABS(F54-180-$B$52), ABS(F54+180-$B$52))</f>
        <v>20.261818182</v>
      </c>
    </row>
    <row r="55" customFormat="false" ht="14.25" hidden="false" customHeight="false" outlineLevel="0" collapsed="false">
      <c r="F55" s="1" t="n">
        <v>-77.727272727</v>
      </c>
      <c r="G55" s="1" t="n">
        <v>0.021831315</v>
      </c>
      <c r="H55" s="34" t="n">
        <v>0.01261566</v>
      </c>
      <c r="K55" s="15" t="n">
        <f aca="false">MIN(ABS(F55-$B$52), ABS(F55-180-$B$52), ABS(F55+180-$B$52))</f>
        <v>24.352727273</v>
      </c>
    </row>
    <row r="56" customFormat="false" ht="14.25" hidden="false" customHeight="false" outlineLevel="0" collapsed="false">
      <c r="F56" s="1" t="n">
        <v>-73.636363636</v>
      </c>
      <c r="G56" s="1" t="n">
        <v>0.017866459</v>
      </c>
      <c r="H56" s="34" t="n">
        <v>0.01261566</v>
      </c>
      <c r="K56" s="15" t="n">
        <f aca="false">MIN(ABS(F56-$B$52), ABS(F56-180-$B$52), ABS(F56+180-$B$52))</f>
        <v>28.443636364</v>
      </c>
    </row>
    <row r="57" customFormat="false" ht="14.25" hidden="false" customHeight="false" outlineLevel="0" collapsed="false">
      <c r="F57" s="1" t="n">
        <v>-69.545454545</v>
      </c>
      <c r="G57" s="1" t="n">
        <v>0.01542859</v>
      </c>
      <c r="H57" s="34" t="n">
        <v>0.01261566</v>
      </c>
      <c r="K57" s="15" t="n">
        <f aca="false">MIN(ABS(F57-$B$52), ABS(F57-180-$B$52), ABS(F57+180-$B$52))</f>
        <v>32.534545455</v>
      </c>
    </row>
    <row r="58" customFormat="false" ht="14.25" hidden="false" customHeight="false" outlineLevel="0" collapsed="false">
      <c r="F58" s="1" t="n">
        <v>-65.454545455</v>
      </c>
      <c r="G58" s="1" t="n">
        <v>0.012199494</v>
      </c>
      <c r="H58" s="34" t="n">
        <v>0.01261566</v>
      </c>
      <c r="K58" s="15" t="n">
        <f aca="false">MIN(ABS(F58-$B$52), ABS(F58-180-$B$52), ABS(F58+180-$B$52))</f>
        <v>36.625454545</v>
      </c>
    </row>
    <row r="59" customFormat="false" ht="14.25" hidden="false" customHeight="false" outlineLevel="0" collapsed="false">
      <c r="F59" s="1" t="n">
        <v>-61.363636364</v>
      </c>
      <c r="G59" s="1" t="n">
        <v>0.011374945</v>
      </c>
      <c r="H59" s="34" t="n">
        <v>0.01261566</v>
      </c>
      <c r="K59" s="15" t="n">
        <f aca="false">MIN(ABS(F59-$B$52), ABS(F59-180-$B$52), ABS(F59+180-$B$52))</f>
        <v>40.716363636</v>
      </c>
    </row>
    <row r="60" customFormat="false" ht="14.25" hidden="false" customHeight="false" outlineLevel="0" collapsed="false">
      <c r="F60" s="1" t="n">
        <v>-57.272727273</v>
      </c>
      <c r="G60" s="1" t="n">
        <v>0.009571637</v>
      </c>
      <c r="H60" s="34" t="n">
        <v>0.01261566</v>
      </c>
      <c r="K60" s="15" t="n">
        <f aca="false">MIN(ABS(F60-$B$52), ABS(F60-180-$B$52), ABS(F60+180-$B$52))</f>
        <v>44.807272727</v>
      </c>
    </row>
    <row r="61" customFormat="false" ht="14.25" hidden="false" customHeight="false" outlineLevel="0" collapsed="false">
      <c r="F61" s="1" t="n">
        <v>-53.181818182</v>
      </c>
      <c r="G61" s="1" t="n">
        <v>0.008536202</v>
      </c>
      <c r="H61" s="34" t="n">
        <v>0.01261566</v>
      </c>
      <c r="K61" s="15" t="n">
        <f aca="false">MIN(ABS(F61-$B$52), ABS(F61-180-$B$52), ABS(F61+180-$B$52))</f>
        <v>48.898181818</v>
      </c>
    </row>
    <row r="62" customFormat="false" ht="14.25" hidden="false" customHeight="false" outlineLevel="0" collapsed="false">
      <c r="F62" s="1" t="n">
        <v>-49.090909091</v>
      </c>
      <c r="G62" s="1" t="n">
        <v>0.007485645</v>
      </c>
      <c r="H62" s="34" t="n">
        <v>0.01261566</v>
      </c>
      <c r="K62" s="15" t="n">
        <f aca="false">MIN(ABS(F62-$B$52), ABS(F62-180-$B$52), ABS(F62+180-$B$52))</f>
        <v>52.989090909</v>
      </c>
    </row>
    <row r="63" customFormat="false" ht="14.25" hidden="false" customHeight="false" outlineLevel="0" collapsed="false">
      <c r="F63" s="1" t="n">
        <v>-45</v>
      </c>
      <c r="G63" s="1" t="n">
        <v>0.007157468</v>
      </c>
      <c r="H63" s="34" t="n">
        <v>0.01261566</v>
      </c>
      <c r="K63" s="15" t="n">
        <f aca="false">MIN(ABS(F63-$B$52), ABS(F63-180-$B$52), ABS(F63+180-$B$52))</f>
        <v>57.08</v>
      </c>
    </row>
    <row r="64" customFormat="false" ht="14.25" hidden="false" customHeight="false" outlineLevel="0" collapsed="false">
      <c r="F64" s="1" t="n">
        <v>-40.909090909</v>
      </c>
      <c r="G64" s="1" t="n">
        <v>0.006487044</v>
      </c>
      <c r="H64" s="34" t="n">
        <v>0.01261566</v>
      </c>
      <c r="K64" s="15" t="n">
        <f aca="false">MIN(ABS(F64-$B$52), ABS(F64-180-$B$52), ABS(F64+180-$B$52))</f>
        <v>61.170909091</v>
      </c>
    </row>
    <row r="65" customFormat="false" ht="14.25" hidden="false" customHeight="false" outlineLevel="0" collapsed="false">
      <c r="F65" s="1" t="n">
        <v>-36.818181818</v>
      </c>
      <c r="G65" s="1" t="n">
        <v>0.00613778</v>
      </c>
      <c r="H65" s="34" t="n">
        <v>0.01261566</v>
      </c>
      <c r="K65" s="15" t="n">
        <f aca="false">MIN(ABS(F65-$B$52), ABS(F65-180-$B$52), ABS(F65+180-$B$52))</f>
        <v>65.261818182</v>
      </c>
    </row>
    <row r="66" customFormat="false" ht="14.25" hidden="false" customHeight="false" outlineLevel="0" collapsed="false">
      <c r="F66" s="1" t="n">
        <v>-32.727272727</v>
      </c>
      <c r="G66" s="1" t="n">
        <v>0.005788759</v>
      </c>
      <c r="H66" s="34" t="n">
        <v>0.01261566</v>
      </c>
      <c r="K66" s="15" t="n">
        <f aca="false">MIN(ABS(F66-$B$52), ABS(F66-180-$B$52), ABS(F66+180-$B$52))</f>
        <v>69.352727273</v>
      </c>
    </row>
    <row r="67" customFormat="false" ht="14.25" hidden="false" customHeight="false" outlineLevel="0" collapsed="false">
      <c r="F67" s="1" t="n">
        <v>-28.636363636</v>
      </c>
      <c r="G67" s="1" t="n">
        <v>0.005688999</v>
      </c>
      <c r="H67" s="34" t="n">
        <v>0.01261566</v>
      </c>
      <c r="K67" s="15" t="n">
        <f aca="false">MIN(ABS(F67-$B$52), ABS(F67-180-$B$52), ABS(F67+180-$B$52))</f>
        <v>73.443636364</v>
      </c>
    </row>
    <row r="68" customFormat="false" ht="14.25" hidden="false" customHeight="false" outlineLevel="0" collapsed="false">
      <c r="F68" s="1" t="n">
        <v>-24.545454545</v>
      </c>
      <c r="G68" s="1" t="n">
        <v>0.005836304</v>
      </c>
      <c r="H68" s="34" t="n">
        <v>0.01261566</v>
      </c>
      <c r="K68" s="15" t="n">
        <f aca="false">MIN(ABS(F68-$B$52), ABS(F68-180-$B$52), ABS(F68+180-$B$52))</f>
        <v>77.534545455</v>
      </c>
    </row>
    <row r="69" customFormat="false" ht="14.25" hidden="false" customHeight="false" outlineLevel="0" collapsed="false">
      <c r="F69" s="1" t="n">
        <v>-20.454545455</v>
      </c>
      <c r="G69" s="1" t="n">
        <v>0.005994831</v>
      </c>
      <c r="H69" s="34" t="n">
        <v>0.01261566</v>
      </c>
      <c r="K69" s="15" t="n">
        <f aca="false">MIN(ABS(F69-$B$52), ABS(F69-180-$B$52), ABS(F69+180-$B$52))</f>
        <v>81.625454545</v>
      </c>
    </row>
    <row r="70" customFormat="false" ht="14.25" hidden="false" customHeight="false" outlineLevel="0" collapsed="false">
      <c r="F70" s="1" t="n">
        <v>-16.363636364</v>
      </c>
      <c r="G70" s="1" t="n">
        <v>0.006102258</v>
      </c>
      <c r="H70" s="34" t="n">
        <v>0.01261566</v>
      </c>
      <c r="K70" s="15" t="n">
        <f aca="false">MIN(ABS(F70-$B$52), ABS(F70-180-$B$52), ABS(F70+180-$B$52))</f>
        <v>85.716363636</v>
      </c>
    </row>
    <row r="71" customFormat="false" ht="14.25" hidden="false" customHeight="false" outlineLevel="0" collapsed="false">
      <c r="F71" s="1" t="n">
        <v>-12.272727273</v>
      </c>
      <c r="G71" s="1" t="n">
        <v>0.006495438</v>
      </c>
      <c r="H71" s="34" t="n">
        <v>0.01261566</v>
      </c>
      <c r="K71" s="15" t="n">
        <f aca="false">MIN(ABS(F71-$B$52), ABS(F71-180-$B$52), ABS(F71+180-$B$52))</f>
        <v>89.807272727</v>
      </c>
    </row>
    <row r="72" customFormat="false" ht="14.25" hidden="false" customHeight="false" outlineLevel="0" collapsed="false">
      <c r="F72" s="1" t="n">
        <v>-8.181818182</v>
      </c>
      <c r="G72" s="1" t="n">
        <v>0.006737106</v>
      </c>
      <c r="H72" s="34" t="n">
        <v>0.01261566</v>
      </c>
      <c r="K72" s="15" t="n">
        <f aca="false">MIN(ABS(F72-$B$52), ABS(F72-180-$B$52), ABS(F72+180-$B$52))</f>
        <v>86.101818182</v>
      </c>
    </row>
    <row r="73" customFormat="false" ht="14.25" hidden="false" customHeight="false" outlineLevel="0" collapsed="false">
      <c r="F73" s="1" t="n">
        <v>-4.090909091</v>
      </c>
      <c r="G73" s="1" t="n">
        <v>0.007410189</v>
      </c>
      <c r="H73" s="34" t="n">
        <v>0.01261566</v>
      </c>
      <c r="K73" s="15" t="n">
        <f aca="false">MIN(ABS(F73-$B$52), ABS(F73-180-$B$52), ABS(F73+180-$B$52))</f>
        <v>82.010909091</v>
      </c>
    </row>
    <row r="74" customFormat="false" ht="14.25" hidden="false" customHeight="false" outlineLevel="0" collapsed="false">
      <c r="F74" s="1" t="n">
        <v>0</v>
      </c>
      <c r="G74" s="1" t="n">
        <v>0.007638048</v>
      </c>
      <c r="H74" s="34" t="n">
        <v>0.01261566</v>
      </c>
      <c r="K74" s="15" t="n">
        <f aca="false">MIN(ABS(F74-$B$52), ABS(F74-180-$B$52), ABS(F74+180-$B$52))</f>
        <v>77.92</v>
      </c>
    </row>
    <row r="75" customFormat="false" ht="14.25" hidden="false" customHeight="false" outlineLevel="0" collapsed="false">
      <c r="F75" s="1" t="n">
        <v>4.090909091</v>
      </c>
      <c r="G75" s="1" t="n">
        <v>0.007947506</v>
      </c>
      <c r="H75" s="34" t="n">
        <v>0.01261566</v>
      </c>
      <c r="K75" s="15" t="n">
        <f aca="false">MIN(ABS(F75-$B$52), ABS(F75-180-$B$52), ABS(F75+180-$B$52))</f>
        <v>73.829090909</v>
      </c>
    </row>
    <row r="76" customFormat="false" ht="14.25" hidden="false" customHeight="false" outlineLevel="0" collapsed="false">
      <c r="F76" s="1" t="n">
        <v>8.181818182</v>
      </c>
      <c r="G76" s="1" t="n">
        <v>0.008013875</v>
      </c>
      <c r="H76" s="34" t="n">
        <v>0.01261566</v>
      </c>
      <c r="K76" s="15" t="n">
        <f aca="false">MIN(ABS(F76-$B$52), ABS(F76-180-$B$52), ABS(F76+180-$B$52))</f>
        <v>69.738181818</v>
      </c>
    </row>
    <row r="77" customFormat="false" ht="14.25" hidden="false" customHeight="false" outlineLevel="0" collapsed="false">
      <c r="F77" s="1" t="n">
        <v>12.272727273</v>
      </c>
      <c r="G77" s="1" t="n">
        <v>0.008625517</v>
      </c>
      <c r="H77" s="34" t="n">
        <v>0.01261566</v>
      </c>
      <c r="K77" s="15" t="n">
        <f aca="false">MIN(ABS(F77-$B$52), ABS(F77-180-$B$52), ABS(F77+180-$B$52))</f>
        <v>65.647272727</v>
      </c>
    </row>
    <row r="78" customFormat="false" ht="14.25" hidden="false" customHeight="false" outlineLevel="0" collapsed="false">
      <c r="F78" s="1" t="n">
        <v>16.363636364</v>
      </c>
      <c r="G78" s="1" t="n">
        <v>0.009255004</v>
      </c>
      <c r="H78" s="34" t="n">
        <v>0.01261566</v>
      </c>
      <c r="K78" s="15" t="n">
        <f aca="false">MIN(ABS(F78-$B$52), ABS(F78-180-$B$52), ABS(F78+180-$B$52))</f>
        <v>61.556363636</v>
      </c>
    </row>
    <row r="79" customFormat="false" ht="14.25" hidden="false" customHeight="false" outlineLevel="0" collapsed="false">
      <c r="F79" s="1" t="n">
        <v>20.454545455</v>
      </c>
      <c r="G79" s="1" t="n">
        <v>0.010087173</v>
      </c>
      <c r="H79" s="34" t="n">
        <v>0.012615664</v>
      </c>
      <c r="K79" s="15" t="n">
        <f aca="false">MIN(ABS(F79-$B$52), ABS(F79-180-$B$52), ABS(F79+180-$B$52))</f>
        <v>57.465454545</v>
      </c>
    </row>
    <row r="80" customFormat="false" ht="14.25" hidden="false" customHeight="false" outlineLevel="0" collapsed="false">
      <c r="F80" s="1" t="n">
        <v>24.545454545</v>
      </c>
      <c r="G80" s="1" t="n">
        <v>0.010694697</v>
      </c>
      <c r="H80" s="34" t="n">
        <v>0.012615701</v>
      </c>
      <c r="K80" s="15" t="n">
        <f aca="false">MIN(ABS(F80-$B$52), ABS(F80-180-$B$52), ABS(F80+180-$B$52))</f>
        <v>53.374545455</v>
      </c>
    </row>
    <row r="81" customFormat="false" ht="14.25" hidden="false" customHeight="false" outlineLevel="0" collapsed="false">
      <c r="F81" s="1" t="n">
        <v>28.636363636</v>
      </c>
      <c r="G81" s="1" t="n">
        <v>0.012468571</v>
      </c>
      <c r="H81" s="34" t="n">
        <v>0.012616005</v>
      </c>
      <c r="K81" s="15" t="n">
        <f aca="false">MIN(ABS(F81-$B$52), ABS(F81-180-$B$52), ABS(F81+180-$B$52))</f>
        <v>49.283636364</v>
      </c>
    </row>
    <row r="82" customFormat="false" ht="14.25" hidden="false" customHeight="false" outlineLevel="0" collapsed="false">
      <c r="F82" s="1" t="n">
        <v>32.727272727</v>
      </c>
      <c r="G82" s="1" t="n">
        <v>0.013878431</v>
      </c>
      <c r="H82" s="34" t="n">
        <v>0.012618108</v>
      </c>
      <c r="K82" s="15" t="n">
        <f aca="false">MIN(ABS(F82-$B$52), ABS(F82-180-$B$52), ABS(F82+180-$B$52))</f>
        <v>45.192727273</v>
      </c>
    </row>
    <row r="83" customFormat="false" ht="14.25" hidden="false" customHeight="false" outlineLevel="0" collapsed="false">
      <c r="F83" s="1" t="n">
        <v>36.818181818</v>
      </c>
      <c r="G83" s="1" t="n">
        <v>0.013503873</v>
      </c>
      <c r="H83" s="34" t="n">
        <v>0.012630321</v>
      </c>
      <c r="K83" s="15" t="n">
        <f aca="false">MIN(ABS(F83-$B$52), ABS(F83-180-$B$52), ABS(F83+180-$B$52))</f>
        <v>41.101818182</v>
      </c>
    </row>
    <row r="84" customFormat="false" ht="14.25" hidden="false" customHeight="false" outlineLevel="0" collapsed="false">
      <c r="F84" s="1" t="n">
        <v>40.909090909</v>
      </c>
      <c r="G84" s="1" t="n">
        <v>0.014224542</v>
      </c>
      <c r="H84" s="34" t="n">
        <v>0.012689742</v>
      </c>
      <c r="K84" s="15" t="n">
        <f aca="false">MIN(ABS(F84-$B$52), ABS(F84-180-$B$52), ABS(F84+180-$B$52))</f>
        <v>37.010909091</v>
      </c>
    </row>
    <row r="85" customFormat="false" ht="14.25" hidden="false" customHeight="false" outlineLevel="0" collapsed="false">
      <c r="F85" s="1" t="n">
        <v>45</v>
      </c>
      <c r="G85" s="1" t="n">
        <v>0.015961833</v>
      </c>
      <c r="H85" s="34" t="n">
        <v>0.012931579</v>
      </c>
      <c r="K85" s="15" t="n">
        <f aca="false">MIN(ABS(F85-$B$52), ABS(F85-180-$B$52), ABS(F85+180-$B$52))</f>
        <v>32.92</v>
      </c>
    </row>
    <row r="86" customFormat="false" ht="14.25" hidden="false" customHeight="false" outlineLevel="0" collapsed="false">
      <c r="F86" s="1" t="n">
        <v>49.090909091</v>
      </c>
      <c r="G86" s="1" t="n">
        <v>0.017495896</v>
      </c>
      <c r="H86" s="34" t="n">
        <v>0.013752633</v>
      </c>
      <c r="K86" s="15" t="n">
        <f aca="false">MIN(ABS(F86-$B$52), ABS(F86-180-$B$52), ABS(F86+180-$B$52))</f>
        <v>28.829090909</v>
      </c>
    </row>
    <row r="87" customFormat="false" ht="14.25" hidden="false" customHeight="false" outlineLevel="0" collapsed="false">
      <c r="F87" s="1" t="n">
        <v>53.181818182</v>
      </c>
      <c r="G87" s="1" t="n">
        <v>0.02155015</v>
      </c>
      <c r="H87" s="34" t="n">
        <v>0.016068989</v>
      </c>
      <c r="K87" s="15" t="n">
        <f aca="false">MIN(ABS(F87-$B$52), ABS(F87-180-$B$52), ABS(F87+180-$B$52))</f>
        <v>24.738181818</v>
      </c>
    </row>
    <row r="88" customFormat="false" ht="14.25" hidden="false" customHeight="false" outlineLevel="0" collapsed="false">
      <c r="F88" s="1" t="n">
        <v>57.272727273</v>
      </c>
      <c r="G88" s="1" t="n">
        <v>0.027434795</v>
      </c>
      <c r="H88" s="34" t="n">
        <v>0.021467628</v>
      </c>
      <c r="K88" s="15" t="n">
        <f aca="false">MIN(ABS(F88-$B$52), ABS(F88-180-$B$52), ABS(F88+180-$B$52))</f>
        <v>20.647272727</v>
      </c>
    </row>
    <row r="89" customFormat="false" ht="14.25" hidden="false" customHeight="false" outlineLevel="0" collapsed="false">
      <c r="F89" s="1" t="n">
        <v>61.363636364</v>
      </c>
      <c r="G89" s="1" t="n">
        <v>0.032523837</v>
      </c>
      <c r="H89" s="34" t="n">
        <v>0.031765084</v>
      </c>
      <c r="K89" s="15" t="n">
        <f aca="false">MIN(ABS(F89-$B$52), ABS(F89-180-$B$52), ABS(F89+180-$B$52))</f>
        <v>16.556363636</v>
      </c>
    </row>
    <row r="90" customFormat="false" ht="14.25" hidden="false" customHeight="false" outlineLevel="0" collapsed="false">
      <c r="F90" s="1" t="n">
        <v>65.454545455</v>
      </c>
      <c r="G90" s="1" t="n">
        <v>0.036146059</v>
      </c>
      <c r="H90" s="34" t="n">
        <v>0.047576804</v>
      </c>
      <c r="K90" s="15" t="n">
        <f aca="false">MIN(ABS(F90-$B$52), ABS(F90-180-$B$52), ABS(F90+180-$B$52))</f>
        <v>12.465454545</v>
      </c>
    </row>
    <row r="91" customFormat="false" ht="14.25" hidden="false" customHeight="false" outlineLevel="0" collapsed="false">
      <c r="F91" s="1" t="n">
        <v>69.545454545</v>
      </c>
      <c r="G91" s="1" t="n">
        <v>0.060362853</v>
      </c>
      <c r="H91" s="34" t="n">
        <v>0.066483506</v>
      </c>
      <c r="K91" s="15" t="n">
        <f aca="false">MIN(ABS(F91-$B$52), ABS(F91-180-$B$52), ABS(F91+180-$B$52))</f>
        <v>8.374545455</v>
      </c>
    </row>
    <row r="92" customFormat="false" ht="14.25" hidden="false" customHeight="false" outlineLevel="0" collapsed="false">
      <c r="F92" s="1" t="n">
        <v>73.636363636</v>
      </c>
      <c r="G92" s="1" t="n">
        <v>0.103812807</v>
      </c>
      <c r="H92" s="34" t="n">
        <v>0.082662354</v>
      </c>
      <c r="K92" s="15" t="n">
        <f aca="false">MIN(ABS(F92-$B$52), ABS(F92-180-$B$52), ABS(F92+180-$B$52))</f>
        <v>4.283636364</v>
      </c>
    </row>
    <row r="93" customFormat="false" ht="14.25" hidden="false" customHeight="false" outlineLevel="0" collapsed="false">
      <c r="F93" s="1" t="n">
        <v>77.727272727</v>
      </c>
      <c r="G93" s="1" t="n">
        <v>0.080395366</v>
      </c>
      <c r="H93" s="34" t="n">
        <v>0.089486164</v>
      </c>
      <c r="K93" s="15" t="n">
        <f aca="false">MIN(ABS(F93-$B$52), ABS(F93-180-$B$52), ABS(F93+180-$B$52))</f>
        <v>0.192727273000003</v>
      </c>
    </row>
    <row r="94" s="19" customFormat="true" ht="14.25" hidden="false" customHeight="false" outlineLevel="0" collapsed="false">
      <c r="A94" s="1"/>
      <c r="B94" s="1"/>
      <c r="C94" s="1"/>
      <c r="D94" s="1"/>
      <c r="E94" s="1"/>
      <c r="F94" s="1" t="n">
        <v>81.818181818</v>
      </c>
      <c r="G94" s="1" t="n">
        <v>0.080723324</v>
      </c>
      <c r="H94" s="34" t="n">
        <v>0.083810066</v>
      </c>
      <c r="I94" s="1"/>
      <c r="J94" s="1"/>
      <c r="K94" s="15" t="n">
        <f aca="false">MIN(ABS(F94-$B$52), ABS(F94-180-$B$52), ABS(F94+180-$B$52))</f>
        <v>3.898181818</v>
      </c>
      <c r="L94" s="1"/>
      <c r="M94" s="1"/>
    </row>
    <row r="95" customFormat="false" ht="14.25" hidden="false" customHeight="false" outlineLevel="0" collapsed="false">
      <c r="F95" s="1" t="n">
        <v>85.909090909</v>
      </c>
      <c r="G95" s="1" t="n">
        <v>0.066589569</v>
      </c>
      <c r="H95" s="34" t="n">
        <v>0.068263213</v>
      </c>
      <c r="K95" s="15" t="n">
        <f aca="false">MIN(ABS(F95-$B$52), ABS(F95-180-$B$52), ABS(F95+180-$B$52))</f>
        <v>7.989090909</v>
      </c>
    </row>
    <row r="96" customFormat="false" ht="14.25" hidden="false" customHeight="false" outlineLevel="0" collapsed="false">
      <c r="A96" s="19"/>
      <c r="B96" s="19"/>
      <c r="C96" s="19"/>
      <c r="D96" s="19"/>
      <c r="E96" s="19"/>
      <c r="F96" s="19" t="n">
        <v>90</v>
      </c>
      <c r="G96" s="19" t="n">
        <v>0.053897682</v>
      </c>
      <c r="H96" s="35" t="n">
        <v>0.049323626</v>
      </c>
      <c r="I96" s="19"/>
      <c r="J96" s="19"/>
      <c r="K96" s="15" t="n">
        <f aca="false">MIN(ABS(F96-$B$52), ABS(F96-180-$B$52), ABS(F96+180-$B$52))</f>
        <v>12.08</v>
      </c>
      <c r="L96" s="19"/>
      <c r="M96" s="19"/>
    </row>
    <row r="97" customFormat="false" ht="14.25" hidden="false" customHeight="false" outlineLevel="0" collapsed="false">
      <c r="A97" s="14" t="n">
        <v>20241115</v>
      </c>
      <c r="B97" s="14" t="n">
        <v>69.55</v>
      </c>
      <c r="C97" s="14" t="s">
        <v>40</v>
      </c>
      <c r="D97" s="14" t="s">
        <v>41</v>
      </c>
      <c r="E97" s="14" t="s">
        <v>42</v>
      </c>
      <c r="F97" s="1" t="n">
        <v>-90</v>
      </c>
      <c r="G97" s="1" t="n">
        <v>0.017438892</v>
      </c>
      <c r="H97" s="34" t="n">
        <v>0.010173696</v>
      </c>
      <c r="K97" s="15" t="n">
        <f aca="false">MIN(ABS(F97-$B$97), ABS(F97-180-$B$97), ABS(F97+180-$B$97))</f>
        <v>20.45</v>
      </c>
      <c r="L97" s="16" t="n">
        <f aca="false" t="array" ref="L97:L97">SQRT(SUMPRODUCT(G97:G141,K97:K141*K97:K141))</f>
        <v>27.1576891287741</v>
      </c>
      <c r="M97" s="3" t="n">
        <f aca="false" t="array" ref="M97:M97">SUMPRODUCT(G97:G141,ABS(K97:K141))</f>
        <v>16.4810661899408</v>
      </c>
    </row>
    <row r="98" customFormat="false" ht="14.25" hidden="false" customHeight="false" outlineLevel="0" collapsed="false">
      <c r="A98" s="1" t="s">
        <v>43</v>
      </c>
      <c r="F98" s="1" t="n">
        <v>-85.909090909</v>
      </c>
      <c r="G98" s="1" t="n">
        <v>0.013687907</v>
      </c>
      <c r="H98" s="34" t="n">
        <v>0.010173696</v>
      </c>
      <c r="K98" s="15" t="n">
        <f aca="false">MIN(ABS(F98-$B$97), ABS(F98-180-$B$97), ABS(F98+180-$B$97))</f>
        <v>24.540909091</v>
      </c>
    </row>
    <row r="99" customFormat="false" ht="14.25" hidden="false" customHeight="false" outlineLevel="0" collapsed="false">
      <c r="F99" s="1" t="n">
        <v>-81.818181818</v>
      </c>
      <c r="G99" s="1" t="n">
        <v>0.012289626</v>
      </c>
      <c r="H99" s="34" t="n">
        <v>0.010173696</v>
      </c>
      <c r="K99" s="15" t="n">
        <f aca="false">MIN(ABS(F99-$B$97), ABS(F99-180-$B$97), ABS(F99+180-$B$97))</f>
        <v>28.631818182</v>
      </c>
    </row>
    <row r="100" customFormat="false" ht="14.25" hidden="false" customHeight="false" outlineLevel="0" collapsed="false">
      <c r="F100" s="1" t="n">
        <v>-77.727272727</v>
      </c>
      <c r="G100" s="1" t="n">
        <v>0.011041373</v>
      </c>
      <c r="H100" s="34" t="n">
        <v>0.010173696</v>
      </c>
      <c r="K100" s="15" t="n">
        <f aca="false">MIN(ABS(F100-$B$97), ABS(F100-180-$B$97), ABS(F100+180-$B$97))</f>
        <v>32.722727273</v>
      </c>
    </row>
    <row r="101" customFormat="false" ht="14.25" hidden="false" customHeight="false" outlineLevel="0" collapsed="false">
      <c r="F101" s="1" t="n">
        <v>-73.636363636</v>
      </c>
      <c r="G101" s="1" t="n">
        <v>0.009034365</v>
      </c>
      <c r="H101" s="34" t="n">
        <v>0.010173696</v>
      </c>
      <c r="K101" s="15" t="n">
        <f aca="false">MIN(ABS(F101-$B$97), ABS(F101-180-$B$97), ABS(F101+180-$B$97))</f>
        <v>36.813636364</v>
      </c>
    </row>
    <row r="102" customFormat="false" ht="14.25" hidden="false" customHeight="false" outlineLevel="0" collapsed="false">
      <c r="F102" s="1" t="n">
        <v>-69.545454545</v>
      </c>
      <c r="G102" s="1" t="n">
        <v>0.008335671</v>
      </c>
      <c r="H102" s="34" t="n">
        <v>0.010173696</v>
      </c>
      <c r="K102" s="15" t="n">
        <f aca="false">MIN(ABS(F102-$B$97), ABS(F102-180-$B$97), ABS(F102+180-$B$97))</f>
        <v>40.904545455</v>
      </c>
    </row>
    <row r="103" customFormat="false" ht="14.25" hidden="false" customHeight="false" outlineLevel="0" collapsed="false">
      <c r="F103" s="1" t="n">
        <v>-65.454545455</v>
      </c>
      <c r="G103" s="1" t="n">
        <v>0.007817521</v>
      </c>
      <c r="H103" s="34" t="n">
        <v>0.010173696</v>
      </c>
      <c r="K103" s="15" t="n">
        <f aca="false">MIN(ABS(F103-$B$97), ABS(F103-180-$B$97), ABS(F103+180-$B$97))</f>
        <v>44.995454545</v>
      </c>
    </row>
    <row r="104" customFormat="false" ht="14.25" hidden="false" customHeight="false" outlineLevel="0" collapsed="false">
      <c r="F104" s="1" t="n">
        <v>-61.363636364</v>
      </c>
      <c r="G104" s="1" t="n">
        <v>0.006780988</v>
      </c>
      <c r="H104" s="34" t="n">
        <v>0.010173696</v>
      </c>
      <c r="K104" s="15" t="n">
        <f aca="false">MIN(ABS(F104-$B$97), ABS(F104-180-$B$97), ABS(F104+180-$B$97))</f>
        <v>49.086363636</v>
      </c>
    </row>
    <row r="105" customFormat="false" ht="14.25" hidden="false" customHeight="false" outlineLevel="0" collapsed="false">
      <c r="F105" s="1" t="n">
        <v>-57.272727273</v>
      </c>
      <c r="G105" s="1" t="n">
        <v>0.006125351</v>
      </c>
      <c r="H105" s="34" t="n">
        <v>0.010173696</v>
      </c>
      <c r="K105" s="15" t="n">
        <f aca="false">MIN(ABS(F105-$B$97), ABS(F105-180-$B$97), ABS(F105+180-$B$97))</f>
        <v>53.177272727</v>
      </c>
    </row>
    <row r="106" customFormat="false" ht="14.25" hidden="false" customHeight="false" outlineLevel="0" collapsed="false">
      <c r="F106" s="1" t="n">
        <v>-53.181818182</v>
      </c>
      <c r="G106" s="1" t="n">
        <v>0.005646942</v>
      </c>
      <c r="H106" s="34" t="n">
        <v>0.010173696</v>
      </c>
      <c r="K106" s="15" t="n">
        <f aca="false">MIN(ABS(F106-$B$97), ABS(F106-180-$B$97), ABS(F106+180-$B$97))</f>
        <v>57.268181818</v>
      </c>
    </row>
    <row r="107" customFormat="false" ht="14.25" hidden="false" customHeight="false" outlineLevel="0" collapsed="false">
      <c r="F107" s="1" t="n">
        <v>-49.090909091</v>
      </c>
      <c r="G107" s="1" t="n">
        <v>0.005455198</v>
      </c>
      <c r="H107" s="34" t="n">
        <v>0.010173696</v>
      </c>
      <c r="K107" s="15" t="n">
        <f aca="false">MIN(ABS(F107-$B$97), ABS(F107-180-$B$97), ABS(F107+180-$B$97))</f>
        <v>61.359090909</v>
      </c>
    </row>
    <row r="108" customFormat="false" ht="14.25" hidden="false" customHeight="false" outlineLevel="0" collapsed="false">
      <c r="F108" s="1" t="n">
        <v>-45</v>
      </c>
      <c r="G108" s="1" t="n">
        <v>0.005438129</v>
      </c>
      <c r="H108" s="34" t="n">
        <v>0.010173696</v>
      </c>
      <c r="K108" s="15" t="n">
        <f aca="false">MIN(ABS(F108-$B$97), ABS(F108-180-$B$97), ABS(F108+180-$B$97))</f>
        <v>65.45</v>
      </c>
    </row>
    <row r="109" customFormat="false" ht="14.25" hidden="false" customHeight="false" outlineLevel="0" collapsed="false">
      <c r="F109" s="1" t="n">
        <v>-40.909090909</v>
      </c>
      <c r="G109" s="1" t="n">
        <v>0.005319474</v>
      </c>
      <c r="H109" s="34" t="n">
        <v>0.010173696</v>
      </c>
      <c r="K109" s="15" t="n">
        <f aca="false">MIN(ABS(F109-$B$97), ABS(F109-180-$B$97), ABS(F109+180-$B$97))</f>
        <v>69.540909091</v>
      </c>
    </row>
    <row r="110" customFormat="false" ht="14.25" hidden="false" customHeight="false" outlineLevel="0" collapsed="false">
      <c r="F110" s="1" t="n">
        <v>-36.818181818</v>
      </c>
      <c r="G110" s="1" t="n">
        <v>0.004962491</v>
      </c>
      <c r="H110" s="34" t="n">
        <v>0.010173696</v>
      </c>
      <c r="K110" s="15" t="n">
        <f aca="false">MIN(ABS(F110-$B$97), ABS(F110-180-$B$97), ABS(F110+180-$B$97))</f>
        <v>73.631818182</v>
      </c>
    </row>
    <row r="111" customFormat="false" ht="14.25" hidden="false" customHeight="false" outlineLevel="0" collapsed="false">
      <c r="F111" s="1" t="n">
        <v>-32.727272727</v>
      </c>
      <c r="G111" s="1" t="n">
        <v>0.004834124</v>
      </c>
      <c r="H111" s="34" t="n">
        <v>0.010173696</v>
      </c>
      <c r="K111" s="15" t="n">
        <f aca="false">MIN(ABS(F111-$B$97), ABS(F111-180-$B$97), ABS(F111+180-$B$97))</f>
        <v>77.722727273</v>
      </c>
    </row>
    <row r="112" customFormat="false" ht="14.25" hidden="false" customHeight="false" outlineLevel="0" collapsed="false">
      <c r="F112" s="1" t="n">
        <v>-28.636363636</v>
      </c>
      <c r="G112" s="1" t="n">
        <v>0.004970675</v>
      </c>
      <c r="H112" s="34" t="n">
        <v>0.010173696</v>
      </c>
      <c r="K112" s="15" t="n">
        <f aca="false">MIN(ABS(F112-$B$97), ABS(F112-180-$B$97), ABS(F112+180-$B$97))</f>
        <v>81.813636364</v>
      </c>
    </row>
    <row r="113" customFormat="false" ht="14.25" hidden="false" customHeight="false" outlineLevel="0" collapsed="false">
      <c r="F113" s="1" t="n">
        <v>-24.545454545</v>
      </c>
      <c r="G113" s="1" t="n">
        <v>0.004710562</v>
      </c>
      <c r="H113" s="34" t="n">
        <v>0.010173696</v>
      </c>
      <c r="K113" s="15" t="n">
        <f aca="false">MIN(ABS(F113-$B$97), ABS(F113-180-$B$97), ABS(F113+180-$B$97))</f>
        <v>85.904545455</v>
      </c>
    </row>
    <row r="114" customFormat="false" ht="14.25" hidden="false" customHeight="false" outlineLevel="0" collapsed="false">
      <c r="F114" s="1" t="n">
        <v>-20.454545455</v>
      </c>
      <c r="G114" s="1" t="n">
        <v>0.004798716</v>
      </c>
      <c r="H114" s="34" t="n">
        <v>0.010173696</v>
      </c>
      <c r="K114" s="15" t="n">
        <f aca="false">MIN(ABS(F114-$B$97), ABS(F114-180-$B$97), ABS(F114+180-$B$97))</f>
        <v>89.995454545</v>
      </c>
    </row>
    <row r="115" customFormat="false" ht="14.25" hidden="false" customHeight="false" outlineLevel="0" collapsed="false">
      <c r="F115" s="1" t="n">
        <v>-16.363636364</v>
      </c>
      <c r="G115" s="1" t="n">
        <v>0.004893132</v>
      </c>
      <c r="H115" s="34" t="n">
        <v>0.010173696</v>
      </c>
      <c r="K115" s="15" t="n">
        <f aca="false">MIN(ABS(F115-$B$97), ABS(F115-180-$B$97), ABS(F115+180-$B$97))</f>
        <v>85.913636364</v>
      </c>
    </row>
    <row r="116" customFormat="false" ht="14.25" hidden="false" customHeight="false" outlineLevel="0" collapsed="false">
      <c r="F116" s="1" t="n">
        <v>-12.272727273</v>
      </c>
      <c r="G116" s="1" t="n">
        <v>0.004651983</v>
      </c>
      <c r="H116" s="34" t="n">
        <v>0.010173696</v>
      </c>
      <c r="K116" s="15" t="n">
        <f aca="false">MIN(ABS(F116-$B$97), ABS(F116-180-$B$97), ABS(F116+180-$B$97))</f>
        <v>81.822727273</v>
      </c>
    </row>
    <row r="117" customFormat="false" ht="14.25" hidden="false" customHeight="false" outlineLevel="0" collapsed="false">
      <c r="F117" s="1" t="n">
        <v>-8.181818182</v>
      </c>
      <c r="G117" s="1" t="n">
        <v>0.005574225</v>
      </c>
      <c r="H117" s="34" t="n">
        <v>0.010173696</v>
      </c>
      <c r="K117" s="15" t="n">
        <f aca="false">MIN(ABS(F117-$B$97), ABS(F117-180-$B$97), ABS(F117+180-$B$97))</f>
        <v>77.731818182</v>
      </c>
    </row>
    <row r="118" customFormat="false" ht="14.25" hidden="false" customHeight="false" outlineLevel="0" collapsed="false">
      <c r="F118" s="1" t="n">
        <v>-4.090909091</v>
      </c>
      <c r="G118" s="1" t="n">
        <v>0.005225738</v>
      </c>
      <c r="H118" s="34" t="n">
        <v>0.010173696</v>
      </c>
      <c r="K118" s="15" t="n">
        <f aca="false">MIN(ABS(F118-$B$97), ABS(F118-180-$B$97), ABS(F118+180-$B$97))</f>
        <v>73.640909091</v>
      </c>
    </row>
    <row r="119" customFormat="false" ht="14.25" hidden="false" customHeight="false" outlineLevel="0" collapsed="false">
      <c r="F119" s="1" t="n">
        <v>0</v>
      </c>
      <c r="G119" s="1" t="n">
        <v>0.005633684</v>
      </c>
      <c r="H119" s="34" t="n">
        <v>0.010173696</v>
      </c>
      <c r="K119" s="15" t="n">
        <f aca="false">MIN(ABS(F119-$B$97), ABS(F119-180-$B$97), ABS(F119+180-$B$97))</f>
        <v>69.55</v>
      </c>
    </row>
    <row r="120" customFormat="false" ht="14.25" hidden="false" customHeight="false" outlineLevel="0" collapsed="false">
      <c r="F120" s="1" t="n">
        <v>4.090909091</v>
      </c>
      <c r="G120" s="1" t="n">
        <v>0.005321443</v>
      </c>
      <c r="H120" s="34" t="n">
        <v>0.010173696</v>
      </c>
      <c r="K120" s="15" t="n">
        <f aca="false">MIN(ABS(F120-$B$97), ABS(F120-180-$B$97), ABS(F120+180-$B$97))</f>
        <v>65.459090909</v>
      </c>
    </row>
    <row r="121" customFormat="false" ht="14.25" hidden="false" customHeight="false" outlineLevel="0" collapsed="false">
      <c r="F121" s="1" t="n">
        <v>8.181818182</v>
      </c>
      <c r="G121" s="1" t="n">
        <v>0.00535108</v>
      </c>
      <c r="H121" s="34" t="n">
        <v>0.010173696</v>
      </c>
      <c r="K121" s="15" t="n">
        <f aca="false">MIN(ABS(F121-$B$97), ABS(F121-180-$B$97), ABS(F121+180-$B$97))</f>
        <v>61.368181818</v>
      </c>
    </row>
    <row r="122" customFormat="false" ht="14.25" hidden="false" customHeight="false" outlineLevel="0" collapsed="false">
      <c r="F122" s="1" t="n">
        <v>12.272727273</v>
      </c>
      <c r="G122" s="1" t="n">
        <v>0.00604502</v>
      </c>
      <c r="H122" s="34" t="n">
        <v>0.010173696</v>
      </c>
      <c r="K122" s="15" t="n">
        <f aca="false">MIN(ABS(F122-$B$97), ABS(F122-180-$B$97), ABS(F122+180-$B$97))</f>
        <v>57.277272727</v>
      </c>
    </row>
    <row r="123" customFormat="false" ht="14.25" hidden="false" customHeight="false" outlineLevel="0" collapsed="false">
      <c r="F123" s="1" t="n">
        <v>16.363636364</v>
      </c>
      <c r="G123" s="1" t="n">
        <v>0.006090988</v>
      </c>
      <c r="H123" s="34" t="n">
        <v>0.010173696</v>
      </c>
      <c r="K123" s="15" t="n">
        <f aca="false">MIN(ABS(F123-$B$97), ABS(F123-180-$B$97), ABS(F123+180-$B$97))</f>
        <v>53.186363636</v>
      </c>
    </row>
    <row r="124" customFormat="false" ht="14.25" hidden="false" customHeight="false" outlineLevel="0" collapsed="false">
      <c r="F124" s="1" t="n">
        <v>20.454545455</v>
      </c>
      <c r="G124" s="1" t="n">
        <v>0.006275315</v>
      </c>
      <c r="H124" s="34" t="n">
        <v>0.010173696</v>
      </c>
      <c r="K124" s="15" t="n">
        <f aca="false">MIN(ABS(F124-$B$97), ABS(F124-180-$B$97), ABS(F124+180-$B$97))</f>
        <v>49.095454545</v>
      </c>
    </row>
    <row r="125" customFormat="false" ht="14.25" hidden="false" customHeight="false" outlineLevel="0" collapsed="false">
      <c r="F125" s="1" t="n">
        <v>24.545454545</v>
      </c>
      <c r="G125" s="1" t="n">
        <v>0.007847616</v>
      </c>
      <c r="H125" s="34" t="n">
        <v>0.010173696</v>
      </c>
      <c r="K125" s="15" t="n">
        <f aca="false">MIN(ABS(F125-$B$97), ABS(F125-180-$B$97), ABS(F125+180-$B$97))</f>
        <v>45.004545455</v>
      </c>
    </row>
    <row r="126" customFormat="false" ht="14.25" hidden="false" customHeight="false" outlineLevel="0" collapsed="false">
      <c r="F126" s="1" t="n">
        <v>28.636363636</v>
      </c>
      <c r="G126" s="1" t="n">
        <v>0.008022272</v>
      </c>
      <c r="H126" s="34" t="n">
        <v>0.010173696</v>
      </c>
      <c r="K126" s="15" t="n">
        <f aca="false">MIN(ABS(F126-$B$97), ABS(F126-180-$B$97), ABS(F126+180-$B$97))</f>
        <v>40.913636364</v>
      </c>
    </row>
    <row r="127" customFormat="false" ht="14.25" hidden="false" customHeight="false" outlineLevel="0" collapsed="false">
      <c r="F127" s="1" t="n">
        <v>32.727272727</v>
      </c>
      <c r="G127" s="1" t="n">
        <v>0.009048309</v>
      </c>
      <c r="H127" s="34" t="n">
        <v>0.010173696</v>
      </c>
      <c r="K127" s="15" t="n">
        <f aca="false">MIN(ABS(F127-$B$97), ABS(F127-180-$B$97), ABS(F127+180-$B$97))</f>
        <v>36.822727273</v>
      </c>
    </row>
    <row r="128" customFormat="false" ht="14.25" hidden="false" customHeight="false" outlineLevel="0" collapsed="false">
      <c r="F128" s="1" t="n">
        <v>36.818181818</v>
      </c>
      <c r="G128" s="1" t="n">
        <v>0.010754116</v>
      </c>
      <c r="H128" s="34" t="n">
        <v>0.010173696</v>
      </c>
      <c r="K128" s="15" t="n">
        <f aca="false">MIN(ABS(F128-$B$97), ABS(F128-180-$B$97), ABS(F128+180-$B$97))</f>
        <v>32.731818182</v>
      </c>
    </row>
    <row r="129" customFormat="false" ht="14.25" hidden="false" customHeight="false" outlineLevel="0" collapsed="false">
      <c r="F129" s="1" t="n">
        <v>40.909090909</v>
      </c>
      <c r="G129" s="1" t="n">
        <v>0.010892258</v>
      </c>
      <c r="H129" s="34" t="n">
        <v>0.010173696</v>
      </c>
      <c r="K129" s="15" t="n">
        <f aca="false">MIN(ABS(F129-$B$97), ABS(F129-180-$B$97), ABS(F129+180-$B$97))</f>
        <v>28.640909091</v>
      </c>
    </row>
    <row r="130" customFormat="false" ht="14.25" hidden="false" customHeight="false" outlineLevel="0" collapsed="false">
      <c r="F130" s="1" t="n">
        <v>45</v>
      </c>
      <c r="G130" s="1" t="n">
        <v>0.015395842</v>
      </c>
      <c r="H130" s="34" t="n">
        <v>0.010173708</v>
      </c>
      <c r="K130" s="15" t="n">
        <f aca="false">MIN(ABS(F130-$B$97), ABS(F130-180-$B$97), ABS(F130+180-$B$97))</f>
        <v>24.55</v>
      </c>
    </row>
    <row r="131" customFormat="false" ht="14.25" hidden="false" customHeight="false" outlineLevel="0" collapsed="false">
      <c r="F131" s="1" t="n">
        <v>49.090909091</v>
      </c>
      <c r="G131" s="1" t="n">
        <v>0.018610049</v>
      </c>
      <c r="H131" s="34" t="n">
        <v>0.010175688</v>
      </c>
      <c r="K131" s="15" t="n">
        <f aca="false">MIN(ABS(F131-$B$97), ABS(F131-180-$B$97), ABS(F131+180-$B$97))</f>
        <v>20.459090909</v>
      </c>
    </row>
    <row r="132" customFormat="false" ht="14.25" hidden="false" customHeight="false" outlineLevel="0" collapsed="false">
      <c r="F132" s="1" t="n">
        <v>53.181818182</v>
      </c>
      <c r="G132" s="1" t="n">
        <v>0.029343048</v>
      </c>
      <c r="H132" s="34" t="n">
        <v>0.010301156</v>
      </c>
      <c r="K132" s="15" t="n">
        <f aca="false">MIN(ABS(F132-$B$97), ABS(F132-180-$B$97), ABS(F132+180-$B$97))</f>
        <v>16.368181818</v>
      </c>
    </row>
    <row r="133" customFormat="false" ht="14.25" hidden="false" customHeight="false" outlineLevel="0" collapsed="false">
      <c r="F133" s="1" t="n">
        <v>57.272727273</v>
      </c>
      <c r="G133" s="1" t="n">
        <v>0.0341075</v>
      </c>
      <c r="H133" s="34" t="n">
        <v>0.01341135</v>
      </c>
      <c r="K133" s="15" t="n">
        <f aca="false">MIN(ABS(F133-$B$97), ABS(F133-180-$B$97), ABS(F133+180-$B$97))</f>
        <v>12.277272727</v>
      </c>
    </row>
    <row r="134" customFormat="false" ht="14.25" hidden="false" customHeight="false" outlineLevel="0" collapsed="false">
      <c r="F134" s="1" t="n">
        <v>61.363636364</v>
      </c>
      <c r="G134" s="1" t="n">
        <v>0.049775778</v>
      </c>
      <c r="H134" s="34" t="n">
        <v>0.042826754</v>
      </c>
      <c r="K134" s="15" t="n">
        <f aca="false">MIN(ABS(F134-$B$97), ABS(F134-180-$B$97), ABS(F134+180-$B$97))</f>
        <v>8.186363636</v>
      </c>
    </row>
    <row r="135" customFormat="false" ht="14.25" hidden="false" customHeight="false" outlineLevel="0" collapsed="false">
      <c r="F135" s="1" t="n">
        <v>65.454545455</v>
      </c>
      <c r="G135" s="1" t="n">
        <v>0.129528472</v>
      </c>
      <c r="H135" s="34" t="n">
        <v>0.140927681</v>
      </c>
      <c r="K135" s="15" t="n">
        <f aca="false">MIN(ABS(F135-$B$97), ABS(F135-180-$B$97), ABS(F135+180-$B$97))</f>
        <v>4.095454545</v>
      </c>
    </row>
    <row r="136" customFormat="false" ht="14.25" hidden="false" customHeight="false" outlineLevel="0" collapsed="false">
      <c r="F136" s="1" t="n">
        <v>69.545454545</v>
      </c>
      <c r="G136" s="1" t="n">
        <v>0.22928078</v>
      </c>
      <c r="H136" s="34" t="n">
        <v>0.218058942</v>
      </c>
      <c r="K136" s="15" t="n">
        <f aca="false">MIN(ABS(F136-$B$97), ABS(F136-180-$B$97), ABS(F136+180-$B$97))</f>
        <v>0.00454545499999881</v>
      </c>
    </row>
    <row r="137" customFormat="false" ht="14.25" hidden="false" customHeight="false" outlineLevel="0" collapsed="false">
      <c r="F137" s="1" t="n">
        <v>73.636363636</v>
      </c>
      <c r="G137" s="1" t="n">
        <v>0.130862115</v>
      </c>
      <c r="H137" s="34" t="n">
        <v>0.141402769</v>
      </c>
      <c r="K137" s="15" t="n">
        <f aca="false">MIN(ABS(F137-$B$97), ABS(F137-180-$B$97), ABS(F137+180-$B$97))</f>
        <v>4.086363636</v>
      </c>
    </row>
    <row r="138" customFormat="false" ht="14.25" hidden="false" customHeight="false" outlineLevel="0" collapsed="false">
      <c r="F138" s="1" t="n">
        <v>77.727272727</v>
      </c>
      <c r="G138" s="1" t="n">
        <v>0.0484712</v>
      </c>
      <c r="H138" s="34" t="n">
        <v>0.043064471</v>
      </c>
      <c r="K138" s="15" t="n">
        <f aca="false">MIN(ABS(F138-$B$97), ABS(F138-180-$B$97), ABS(F138+180-$B$97))</f>
        <v>8.177272727</v>
      </c>
    </row>
    <row r="139" s="19" customFormat="true" ht="14.25" hidden="false" customHeight="false" outlineLevel="0" collapsed="false">
      <c r="A139" s="1"/>
      <c r="B139" s="1"/>
      <c r="C139" s="1"/>
      <c r="D139" s="1"/>
      <c r="E139" s="1"/>
      <c r="F139" s="1" t="n">
        <v>81.818181818</v>
      </c>
      <c r="G139" s="1" t="n">
        <v>0.03329251</v>
      </c>
      <c r="H139" s="34" t="n">
        <v>0.01344677</v>
      </c>
      <c r="I139" s="1"/>
      <c r="J139" s="1"/>
      <c r="K139" s="15" t="n">
        <f aca="false">MIN(ABS(F139-$B$97), ABS(F139-180-$B$97), ABS(F139+180-$B$97))</f>
        <v>12.268181818</v>
      </c>
      <c r="L139" s="1"/>
      <c r="M139" s="1"/>
    </row>
    <row r="140" customFormat="false" ht="14.25" hidden="false" customHeight="false" outlineLevel="0" collapsed="false">
      <c r="F140" s="1" t="n">
        <v>85.909090909</v>
      </c>
      <c r="G140" s="1" t="n">
        <v>0.02357863</v>
      </c>
      <c r="H140" s="34" t="n">
        <v>0.010303019</v>
      </c>
      <c r="K140" s="15" t="n">
        <f aca="false">MIN(ABS(F140-$B$97), ABS(F140-180-$B$97), ABS(F140+180-$B$97))</f>
        <v>16.359090909</v>
      </c>
    </row>
    <row r="141" customFormat="false" ht="14.25" hidden="false" customHeight="false" outlineLevel="0" collapsed="false">
      <c r="A141" s="19"/>
      <c r="B141" s="19"/>
      <c r="C141" s="19"/>
      <c r="D141" s="19"/>
      <c r="E141" s="19"/>
      <c r="F141" s="19" t="n">
        <v>90</v>
      </c>
      <c r="G141" s="19" t="n">
        <v>0.017438892</v>
      </c>
      <c r="H141" s="35" t="n">
        <v>0.010175725</v>
      </c>
      <c r="I141" s="19"/>
      <c r="J141" s="19"/>
      <c r="K141" s="15" t="n">
        <f aca="false">MIN(ABS(F141-$B$97), ABS(F141-180-$B$97), ABS(F141+180-$B$97))</f>
        <v>20.45</v>
      </c>
      <c r="L141" s="19"/>
      <c r="M141" s="19"/>
    </row>
    <row r="142" customFormat="false" ht="14.25" hidden="false" customHeight="false" outlineLevel="0" collapsed="false">
      <c r="A142" s="14"/>
      <c r="B142" s="14"/>
      <c r="C142" s="14"/>
      <c r="D142" s="14"/>
      <c r="E142" s="14"/>
      <c r="K142" s="15"/>
      <c r="L142" s="16"/>
      <c r="M142" s="3"/>
    </row>
    <row r="143" customFormat="false" ht="14.25" hidden="false" customHeight="false" outlineLevel="0" collapsed="false">
      <c r="K143" s="15"/>
    </row>
    <row r="144" customFormat="false" ht="14.25" hidden="false" customHeight="false" outlineLevel="0" collapsed="false">
      <c r="K144" s="15"/>
    </row>
    <row r="145" customFormat="false" ht="14.25" hidden="false" customHeight="false" outlineLevel="0" collapsed="false">
      <c r="K145" s="15"/>
    </row>
    <row r="146" customFormat="false" ht="14.25" hidden="false" customHeight="false" outlineLevel="0" collapsed="false">
      <c r="K146" s="15"/>
    </row>
    <row r="147" customFormat="false" ht="14.25" hidden="false" customHeight="false" outlineLevel="0" collapsed="false">
      <c r="K147" s="15"/>
    </row>
    <row r="148" customFormat="false" ht="14.25" hidden="false" customHeight="false" outlineLevel="0" collapsed="false">
      <c r="K148" s="15"/>
    </row>
    <row r="149" customFormat="false" ht="14.25" hidden="false" customHeight="false" outlineLevel="0" collapsed="false">
      <c r="K149" s="15"/>
    </row>
    <row r="150" customFormat="false" ht="14.25" hidden="false" customHeight="false" outlineLevel="0" collapsed="false">
      <c r="K150" s="15"/>
    </row>
    <row r="151" customFormat="false" ht="14.25" hidden="false" customHeight="false" outlineLevel="0" collapsed="false">
      <c r="K151" s="15"/>
    </row>
    <row r="152" customFormat="false" ht="14.25" hidden="false" customHeight="false" outlineLevel="0" collapsed="false">
      <c r="K152" s="15"/>
    </row>
    <row r="153" customFormat="false" ht="14.25" hidden="false" customHeight="false" outlineLevel="0" collapsed="false">
      <c r="K153" s="15"/>
    </row>
    <row r="154" customFormat="false" ht="14.25" hidden="false" customHeight="false" outlineLevel="0" collapsed="false">
      <c r="K154" s="15"/>
    </row>
    <row r="155" customFormat="false" ht="14.25" hidden="false" customHeight="false" outlineLevel="0" collapsed="false">
      <c r="K155" s="15"/>
    </row>
    <row r="156" customFormat="false" ht="14.25" hidden="false" customHeight="false" outlineLevel="0" collapsed="false">
      <c r="K156" s="15"/>
    </row>
    <row r="157" customFormat="false" ht="14.25" hidden="false" customHeight="false" outlineLevel="0" collapsed="false">
      <c r="K157" s="15"/>
    </row>
    <row r="158" customFormat="false" ht="14.25" hidden="false" customHeight="false" outlineLevel="0" collapsed="false">
      <c r="K158" s="15"/>
    </row>
    <row r="159" customFormat="false" ht="14.25" hidden="false" customHeight="false" outlineLevel="0" collapsed="false">
      <c r="K159" s="15"/>
    </row>
    <row r="160" customFormat="false" ht="14.25" hidden="false" customHeight="false" outlineLevel="0" collapsed="false">
      <c r="K160" s="15"/>
    </row>
    <row r="161" customFormat="false" ht="14.25" hidden="false" customHeight="false" outlineLevel="0" collapsed="false">
      <c r="K161" s="15"/>
    </row>
    <row r="162" customFormat="false" ht="14.25" hidden="false" customHeight="false" outlineLevel="0" collapsed="false">
      <c r="K162" s="15"/>
    </row>
    <row r="163" customFormat="false" ht="14.25" hidden="false" customHeight="false" outlineLevel="0" collapsed="false">
      <c r="K163" s="15"/>
    </row>
    <row r="164" customFormat="false" ht="14.25" hidden="false" customHeight="false" outlineLevel="0" collapsed="false">
      <c r="K164" s="15"/>
    </row>
    <row r="165" customFormat="false" ht="14.25" hidden="false" customHeight="false" outlineLevel="0" collapsed="false">
      <c r="K165" s="15"/>
    </row>
    <row r="166" customFormat="false" ht="14.25" hidden="false" customHeight="false" outlineLevel="0" collapsed="false">
      <c r="K166" s="15"/>
    </row>
    <row r="167" customFormat="false" ht="14.25" hidden="false" customHeight="false" outlineLevel="0" collapsed="false">
      <c r="K167" s="15"/>
    </row>
    <row r="168" customFormat="false" ht="14.25" hidden="false" customHeight="false" outlineLevel="0" collapsed="false">
      <c r="K168" s="15"/>
    </row>
    <row r="169" customFormat="false" ht="14.25" hidden="false" customHeight="false" outlineLevel="0" collapsed="false">
      <c r="K169" s="15"/>
    </row>
    <row r="170" customFormat="false" ht="14.25" hidden="false" customHeight="false" outlineLevel="0" collapsed="false">
      <c r="K170" s="15"/>
    </row>
    <row r="171" customFormat="false" ht="14.25" hidden="false" customHeight="false" outlineLevel="0" collapsed="false">
      <c r="K171" s="15"/>
    </row>
    <row r="172" customFormat="false" ht="14.25" hidden="false" customHeight="false" outlineLevel="0" collapsed="false">
      <c r="K172" s="15"/>
    </row>
    <row r="173" customFormat="false" ht="14.25" hidden="false" customHeight="false" outlineLevel="0" collapsed="false">
      <c r="K173" s="15"/>
    </row>
    <row r="174" customFormat="false" ht="14.25" hidden="false" customHeight="false" outlineLevel="0" collapsed="false">
      <c r="K174" s="15"/>
    </row>
    <row r="175" customFormat="false" ht="14.25" hidden="false" customHeight="false" outlineLevel="0" collapsed="false">
      <c r="K175" s="15"/>
    </row>
    <row r="176" customFormat="false" ht="14.25" hidden="false" customHeight="false" outlineLevel="0" collapsed="false">
      <c r="K176" s="15"/>
    </row>
    <row r="177" customFormat="false" ht="14.25" hidden="false" customHeight="false" outlineLevel="0" collapsed="false">
      <c r="K177" s="15"/>
    </row>
    <row r="178" customFormat="false" ht="14.25" hidden="false" customHeight="false" outlineLevel="0" collapsed="false">
      <c r="K178" s="15"/>
    </row>
    <row r="179" customFormat="false" ht="14.25" hidden="false" customHeight="false" outlineLevel="0" collapsed="false">
      <c r="K179" s="15"/>
    </row>
    <row r="180" customFormat="false" ht="14.25" hidden="false" customHeight="false" outlineLevel="0" collapsed="false">
      <c r="K180" s="15"/>
    </row>
    <row r="181" customFormat="false" ht="14.25" hidden="false" customHeight="false" outlineLevel="0" collapsed="false">
      <c r="K181" s="15"/>
    </row>
    <row r="182" customFormat="false" ht="14.25" hidden="false" customHeight="false" outlineLevel="0" collapsed="false">
      <c r="K182" s="15"/>
    </row>
    <row r="183" customFormat="false" ht="14.25" hidden="false" customHeight="false" outlineLevel="0" collapsed="false">
      <c r="K183" s="15"/>
    </row>
    <row r="184" s="19" customFormat="true" ht="14.25" hidden="false" customHeight="false" outlineLevel="0" collapsed="false">
      <c r="A184" s="1"/>
      <c r="B184" s="1"/>
      <c r="C184" s="1"/>
      <c r="D184" s="1"/>
      <c r="E184" s="1"/>
      <c r="F184" s="1"/>
      <c r="G184" s="1"/>
      <c r="H184" s="34"/>
      <c r="I184" s="1"/>
      <c r="J184" s="1"/>
      <c r="K184" s="15"/>
      <c r="L184" s="1"/>
      <c r="M184" s="1"/>
    </row>
    <row r="185" customFormat="false" ht="14.25" hidden="false" customHeight="false" outlineLevel="0" collapsed="false">
      <c r="K185" s="15"/>
    </row>
    <row r="186" customFormat="false" ht="14.25" hidden="false" customHeight="false" outlineLevel="0" collapsed="false">
      <c r="A186" s="19"/>
      <c r="B186" s="19"/>
      <c r="C186" s="19"/>
      <c r="D186" s="19"/>
      <c r="E186" s="19"/>
      <c r="F186" s="19"/>
      <c r="G186" s="19"/>
      <c r="H186" s="35"/>
      <c r="I186" s="19"/>
      <c r="J186" s="19"/>
      <c r="K186" s="15"/>
      <c r="L186" s="19"/>
      <c r="M186" s="19"/>
    </row>
    <row r="187" customFormat="false" ht="14.25" hidden="false" customHeight="false" outlineLevel="0" collapsed="false">
      <c r="A187" s="14"/>
      <c r="B187" s="14"/>
      <c r="C187" s="14"/>
      <c r="D187" s="14"/>
      <c r="E187" s="14"/>
      <c r="K187" s="15"/>
      <c r="L187" s="16"/>
      <c r="M187" s="3"/>
    </row>
    <row r="188" customFormat="false" ht="14.25" hidden="false" customHeight="false" outlineLevel="0" collapsed="false">
      <c r="K188" s="15"/>
    </row>
    <row r="189" customFormat="false" ht="14.25" hidden="false" customHeight="false" outlineLevel="0" collapsed="false">
      <c r="K189" s="15"/>
    </row>
    <row r="190" customFormat="false" ht="14.25" hidden="false" customHeight="false" outlineLevel="0" collapsed="false">
      <c r="K190" s="15"/>
    </row>
    <row r="191" customFormat="false" ht="14.25" hidden="false" customHeight="false" outlineLevel="0" collapsed="false">
      <c r="K191" s="15"/>
    </row>
    <row r="192" customFormat="false" ht="14.25" hidden="false" customHeight="false" outlineLevel="0" collapsed="false">
      <c r="K192" s="15"/>
    </row>
    <row r="193" customFormat="false" ht="14.25" hidden="false" customHeight="false" outlineLevel="0" collapsed="false">
      <c r="K193" s="15"/>
    </row>
    <row r="194" customFormat="false" ht="14.25" hidden="false" customHeight="false" outlineLevel="0" collapsed="false">
      <c r="K194" s="15"/>
    </row>
    <row r="195" customFormat="false" ht="14.25" hidden="false" customHeight="false" outlineLevel="0" collapsed="false">
      <c r="K195" s="15"/>
    </row>
    <row r="196" customFormat="false" ht="14.25" hidden="false" customHeight="false" outlineLevel="0" collapsed="false">
      <c r="K196" s="15"/>
    </row>
    <row r="197" customFormat="false" ht="14.25" hidden="false" customHeight="false" outlineLevel="0" collapsed="false">
      <c r="K197" s="15"/>
    </row>
    <row r="198" customFormat="false" ht="14.25" hidden="false" customHeight="false" outlineLevel="0" collapsed="false">
      <c r="K198" s="15"/>
    </row>
    <row r="199" customFormat="false" ht="14.25" hidden="false" customHeight="false" outlineLevel="0" collapsed="false">
      <c r="K199" s="15"/>
    </row>
    <row r="200" customFormat="false" ht="14.25" hidden="false" customHeight="false" outlineLevel="0" collapsed="false">
      <c r="K200" s="15"/>
    </row>
    <row r="201" customFormat="false" ht="14.25" hidden="false" customHeight="false" outlineLevel="0" collapsed="false">
      <c r="K201" s="15"/>
    </row>
    <row r="202" customFormat="false" ht="14.25" hidden="false" customHeight="false" outlineLevel="0" collapsed="false">
      <c r="K202" s="15"/>
    </row>
    <row r="203" customFormat="false" ht="14.25" hidden="false" customHeight="false" outlineLevel="0" collapsed="false">
      <c r="K203" s="15"/>
    </row>
    <row r="204" customFormat="false" ht="14.25" hidden="false" customHeight="false" outlineLevel="0" collapsed="false">
      <c r="K204" s="15"/>
    </row>
    <row r="205" customFormat="false" ht="14.25" hidden="false" customHeight="false" outlineLevel="0" collapsed="false">
      <c r="K205" s="15"/>
    </row>
    <row r="206" customFormat="false" ht="14.25" hidden="false" customHeight="false" outlineLevel="0" collapsed="false">
      <c r="K206" s="15"/>
    </row>
    <row r="207" customFormat="false" ht="14.25" hidden="false" customHeight="false" outlineLevel="0" collapsed="false">
      <c r="K207" s="15"/>
    </row>
    <row r="208" customFormat="false" ht="14.25" hidden="false" customHeight="false" outlineLevel="0" collapsed="false">
      <c r="K208" s="15"/>
    </row>
    <row r="209" customFormat="false" ht="14.25" hidden="false" customHeight="false" outlineLevel="0" collapsed="false">
      <c r="K209" s="15"/>
    </row>
    <row r="210" customFormat="false" ht="14.25" hidden="false" customHeight="false" outlineLevel="0" collapsed="false">
      <c r="K210" s="15"/>
    </row>
    <row r="211" customFormat="false" ht="14.25" hidden="false" customHeight="false" outlineLevel="0" collapsed="false">
      <c r="K211" s="15"/>
    </row>
    <row r="212" customFormat="false" ht="14.25" hidden="false" customHeight="false" outlineLevel="0" collapsed="false">
      <c r="K212" s="15"/>
    </row>
    <row r="213" customFormat="false" ht="14.25" hidden="false" customHeight="false" outlineLevel="0" collapsed="false">
      <c r="K213" s="15"/>
    </row>
    <row r="214" customFormat="false" ht="14.25" hidden="false" customHeight="false" outlineLevel="0" collapsed="false">
      <c r="K214" s="15"/>
    </row>
    <row r="215" customFormat="false" ht="14.25" hidden="false" customHeight="false" outlineLevel="0" collapsed="false">
      <c r="K215" s="15"/>
    </row>
    <row r="216" customFormat="false" ht="14.25" hidden="false" customHeight="false" outlineLevel="0" collapsed="false">
      <c r="K216" s="15"/>
    </row>
    <row r="217" customFormat="false" ht="14.25" hidden="false" customHeight="false" outlineLevel="0" collapsed="false">
      <c r="K217" s="15"/>
    </row>
    <row r="218" customFormat="false" ht="14.25" hidden="false" customHeight="false" outlineLevel="0" collapsed="false">
      <c r="K218" s="15"/>
    </row>
    <row r="219" customFormat="false" ht="14.25" hidden="false" customHeight="false" outlineLevel="0" collapsed="false">
      <c r="K219" s="15"/>
    </row>
    <row r="220" customFormat="false" ht="14.25" hidden="false" customHeight="false" outlineLevel="0" collapsed="false">
      <c r="K220" s="15"/>
    </row>
    <row r="221" customFormat="false" ht="14.25" hidden="false" customHeight="false" outlineLevel="0" collapsed="false">
      <c r="K221" s="15"/>
    </row>
    <row r="222" customFormat="false" ht="14.25" hidden="false" customHeight="false" outlineLevel="0" collapsed="false">
      <c r="K222" s="15"/>
    </row>
    <row r="223" customFormat="false" ht="14.25" hidden="false" customHeight="false" outlineLevel="0" collapsed="false">
      <c r="K223" s="15"/>
    </row>
    <row r="224" customFormat="false" ht="14.25" hidden="false" customHeight="false" outlineLevel="0" collapsed="false">
      <c r="K224" s="15"/>
    </row>
    <row r="225" customFormat="false" ht="14.25" hidden="false" customHeight="false" outlineLevel="0" collapsed="false">
      <c r="K225" s="15"/>
    </row>
    <row r="226" customFormat="false" ht="14.25" hidden="false" customHeight="false" outlineLevel="0" collapsed="false">
      <c r="K226" s="15"/>
    </row>
    <row r="227" customFormat="false" ht="14.25" hidden="false" customHeight="false" outlineLevel="0" collapsed="false">
      <c r="K227" s="15"/>
    </row>
    <row r="228" customFormat="false" ht="14.25" hidden="false" customHeight="false" outlineLevel="0" collapsed="false">
      <c r="K228" s="15"/>
    </row>
    <row r="229" s="19" customFormat="true" ht="14.25" hidden="false" customHeight="false" outlineLevel="0" collapsed="false">
      <c r="A229" s="1"/>
      <c r="B229" s="1"/>
      <c r="C229" s="1"/>
      <c r="D229" s="1"/>
      <c r="E229" s="1"/>
      <c r="F229" s="1"/>
      <c r="G229" s="1"/>
      <c r="H229" s="34"/>
      <c r="I229" s="1"/>
      <c r="J229" s="1"/>
      <c r="K229" s="15"/>
      <c r="L229" s="1"/>
      <c r="M229" s="1"/>
    </row>
    <row r="230" customFormat="false" ht="14.25" hidden="false" customHeight="false" outlineLevel="0" collapsed="false">
      <c r="K230" s="15"/>
    </row>
    <row r="231" customFormat="false" ht="14.25" hidden="false" customHeight="false" outlineLevel="0" collapsed="false">
      <c r="A231" s="19"/>
      <c r="B231" s="19"/>
      <c r="C231" s="19"/>
      <c r="D231" s="19"/>
      <c r="E231" s="19"/>
      <c r="F231" s="19"/>
      <c r="G231" s="19"/>
      <c r="H231" s="35"/>
      <c r="I231" s="19"/>
      <c r="J231" s="19"/>
      <c r="K231" s="15"/>
      <c r="L231" s="19"/>
      <c r="M231" s="19"/>
    </row>
    <row r="232" customFormat="false" ht="14.25" hidden="false" customHeight="false" outlineLevel="0" collapsed="false">
      <c r="A232" s="14"/>
      <c r="B232" s="14"/>
      <c r="C232" s="14"/>
      <c r="D232" s="14"/>
      <c r="E232" s="14"/>
      <c r="K232" s="15"/>
      <c r="L232" s="16"/>
      <c r="M232" s="3"/>
    </row>
    <row r="233" customFormat="false" ht="14.25" hidden="false" customHeight="false" outlineLevel="0" collapsed="false">
      <c r="K233" s="15"/>
    </row>
    <row r="234" customFormat="false" ht="14.25" hidden="false" customHeight="false" outlineLevel="0" collapsed="false">
      <c r="K234" s="15"/>
    </row>
    <row r="235" customFormat="false" ht="14.25" hidden="false" customHeight="false" outlineLevel="0" collapsed="false">
      <c r="K235" s="15"/>
    </row>
    <row r="236" customFormat="false" ht="14.25" hidden="false" customHeight="false" outlineLevel="0" collapsed="false">
      <c r="K236" s="15"/>
    </row>
    <row r="237" customFormat="false" ht="14.25" hidden="false" customHeight="false" outlineLevel="0" collapsed="false">
      <c r="K237" s="15"/>
    </row>
    <row r="238" customFormat="false" ht="14.25" hidden="false" customHeight="false" outlineLevel="0" collapsed="false">
      <c r="K238" s="15"/>
    </row>
    <row r="239" customFormat="false" ht="14.25" hidden="false" customHeight="false" outlineLevel="0" collapsed="false">
      <c r="K239" s="15"/>
    </row>
    <row r="240" customFormat="false" ht="14.25" hidden="false" customHeight="false" outlineLevel="0" collapsed="false">
      <c r="K240" s="15"/>
    </row>
    <row r="241" customFormat="false" ht="14.25" hidden="false" customHeight="false" outlineLevel="0" collapsed="false">
      <c r="K241" s="15"/>
    </row>
    <row r="242" customFormat="false" ht="14.25" hidden="false" customHeight="false" outlineLevel="0" collapsed="false">
      <c r="K242" s="15"/>
    </row>
    <row r="243" customFormat="false" ht="14.25" hidden="false" customHeight="false" outlineLevel="0" collapsed="false">
      <c r="K243" s="15"/>
    </row>
    <row r="244" customFormat="false" ht="14.25" hidden="false" customHeight="false" outlineLevel="0" collapsed="false">
      <c r="K244" s="15"/>
    </row>
    <row r="245" customFormat="false" ht="14.25" hidden="false" customHeight="false" outlineLevel="0" collapsed="false">
      <c r="K245" s="15"/>
    </row>
    <row r="246" customFormat="false" ht="14.25" hidden="false" customHeight="false" outlineLevel="0" collapsed="false">
      <c r="K246" s="15"/>
    </row>
    <row r="247" customFormat="false" ht="14.25" hidden="false" customHeight="false" outlineLevel="0" collapsed="false">
      <c r="K247" s="15"/>
    </row>
    <row r="248" customFormat="false" ht="14.25" hidden="false" customHeight="false" outlineLevel="0" collapsed="false">
      <c r="K248" s="15"/>
    </row>
    <row r="249" customFormat="false" ht="14.25" hidden="false" customHeight="false" outlineLevel="0" collapsed="false">
      <c r="K249" s="15"/>
    </row>
    <row r="250" customFormat="false" ht="14.25" hidden="false" customHeight="false" outlineLevel="0" collapsed="false">
      <c r="K250" s="15"/>
    </row>
    <row r="251" customFormat="false" ht="14.25" hidden="false" customHeight="false" outlineLevel="0" collapsed="false">
      <c r="K251" s="15"/>
    </row>
    <row r="252" customFormat="false" ht="14.25" hidden="false" customHeight="false" outlineLevel="0" collapsed="false">
      <c r="K252" s="15"/>
    </row>
    <row r="253" customFormat="false" ht="14.25" hidden="false" customHeight="false" outlineLevel="0" collapsed="false">
      <c r="K253" s="15"/>
    </row>
    <row r="254" customFormat="false" ht="14.25" hidden="false" customHeight="false" outlineLevel="0" collapsed="false">
      <c r="K254" s="15"/>
    </row>
    <row r="255" customFormat="false" ht="14.25" hidden="false" customHeight="false" outlineLevel="0" collapsed="false">
      <c r="K255" s="15"/>
    </row>
    <row r="256" customFormat="false" ht="14.25" hidden="false" customHeight="false" outlineLevel="0" collapsed="false">
      <c r="K256" s="15"/>
    </row>
    <row r="257" customFormat="false" ht="14.25" hidden="false" customHeight="false" outlineLevel="0" collapsed="false">
      <c r="K257" s="15"/>
    </row>
    <row r="258" customFormat="false" ht="14.25" hidden="false" customHeight="false" outlineLevel="0" collapsed="false">
      <c r="K258" s="15"/>
    </row>
    <row r="259" customFormat="false" ht="14.25" hidden="false" customHeight="false" outlineLevel="0" collapsed="false">
      <c r="K259" s="15"/>
    </row>
    <row r="260" customFormat="false" ht="14.25" hidden="false" customHeight="false" outlineLevel="0" collapsed="false">
      <c r="K260" s="15"/>
    </row>
    <row r="261" customFormat="false" ht="14.25" hidden="false" customHeight="false" outlineLevel="0" collapsed="false">
      <c r="K261" s="15"/>
    </row>
    <row r="262" customFormat="false" ht="14.25" hidden="false" customHeight="false" outlineLevel="0" collapsed="false">
      <c r="K262" s="15"/>
    </row>
    <row r="263" customFormat="false" ht="14.25" hidden="false" customHeight="false" outlineLevel="0" collapsed="false">
      <c r="K263" s="15"/>
    </row>
    <row r="264" customFormat="false" ht="14.25" hidden="false" customHeight="false" outlineLevel="0" collapsed="false">
      <c r="K264" s="15"/>
    </row>
    <row r="265" customFormat="false" ht="14.25" hidden="false" customHeight="false" outlineLevel="0" collapsed="false">
      <c r="K265" s="15"/>
    </row>
    <row r="266" customFormat="false" ht="14.25" hidden="false" customHeight="false" outlineLevel="0" collapsed="false">
      <c r="K266" s="15"/>
    </row>
    <row r="267" customFormat="false" ht="14.25" hidden="false" customHeight="false" outlineLevel="0" collapsed="false">
      <c r="K267" s="15"/>
    </row>
    <row r="268" customFormat="false" ht="14.25" hidden="false" customHeight="false" outlineLevel="0" collapsed="false">
      <c r="K268" s="15"/>
    </row>
    <row r="269" customFormat="false" ht="14.25" hidden="false" customHeight="false" outlineLevel="0" collapsed="false">
      <c r="K269" s="15"/>
    </row>
    <row r="270" customFormat="false" ht="14.25" hidden="false" customHeight="false" outlineLevel="0" collapsed="false">
      <c r="K270" s="15"/>
    </row>
    <row r="271" customFormat="false" ht="14.25" hidden="false" customHeight="false" outlineLevel="0" collapsed="false">
      <c r="K271" s="15"/>
    </row>
    <row r="272" customFormat="false" ht="14.25" hidden="false" customHeight="false" outlineLevel="0" collapsed="false">
      <c r="K272" s="15"/>
    </row>
    <row r="273" customFormat="false" ht="14.25" hidden="false" customHeight="false" outlineLevel="0" collapsed="false">
      <c r="K273" s="15"/>
    </row>
    <row r="274" s="19" customFormat="true" ht="14.25" hidden="false" customHeight="false" outlineLevel="0" collapsed="false">
      <c r="A274" s="1"/>
      <c r="B274" s="1"/>
      <c r="C274" s="1"/>
      <c r="D274" s="1"/>
      <c r="E274" s="1"/>
      <c r="F274" s="1"/>
      <c r="G274" s="1"/>
      <c r="H274" s="34"/>
      <c r="I274" s="1"/>
      <c r="J274" s="1"/>
      <c r="K274" s="15"/>
      <c r="L274" s="1"/>
      <c r="M274" s="1"/>
    </row>
    <row r="275" customFormat="false" ht="14.25" hidden="false" customHeight="false" outlineLevel="0" collapsed="false">
      <c r="K275" s="15"/>
    </row>
    <row r="276" customFormat="false" ht="14.25" hidden="false" customHeight="false" outlineLevel="0" collapsed="false">
      <c r="A276" s="19"/>
      <c r="B276" s="19"/>
      <c r="C276" s="19"/>
      <c r="D276" s="19"/>
      <c r="E276" s="19"/>
      <c r="F276" s="19"/>
      <c r="G276" s="19"/>
      <c r="H276" s="35"/>
      <c r="I276" s="19"/>
      <c r="J276" s="19"/>
      <c r="K276" s="15"/>
      <c r="L276" s="19"/>
      <c r="M276" s="19"/>
    </row>
    <row r="277" customFormat="false" ht="14.25" hidden="false" customHeight="false" outlineLevel="0" collapsed="false">
      <c r="A277" s="14"/>
      <c r="B277" s="14"/>
      <c r="C277" s="14"/>
      <c r="D277" s="14"/>
      <c r="E277" s="14"/>
      <c r="K277" s="15"/>
      <c r="L277" s="16"/>
      <c r="M277" s="3"/>
    </row>
    <row r="278" customFormat="false" ht="14.25" hidden="false" customHeight="false" outlineLevel="0" collapsed="false">
      <c r="K278" s="15"/>
    </row>
    <row r="279" customFormat="false" ht="14.25" hidden="false" customHeight="false" outlineLevel="0" collapsed="false">
      <c r="K279" s="15"/>
    </row>
    <row r="280" customFormat="false" ht="14.25" hidden="false" customHeight="false" outlineLevel="0" collapsed="false">
      <c r="K280" s="15"/>
    </row>
    <row r="281" customFormat="false" ht="14.25" hidden="false" customHeight="false" outlineLevel="0" collapsed="false">
      <c r="K281" s="15"/>
    </row>
    <row r="282" customFormat="false" ht="14.25" hidden="false" customHeight="false" outlineLevel="0" collapsed="false">
      <c r="K282" s="15"/>
    </row>
    <row r="283" customFormat="false" ht="14.25" hidden="false" customHeight="false" outlineLevel="0" collapsed="false">
      <c r="K283" s="15"/>
    </row>
    <row r="284" customFormat="false" ht="14.25" hidden="false" customHeight="false" outlineLevel="0" collapsed="false">
      <c r="K284" s="15"/>
    </row>
    <row r="285" customFormat="false" ht="14.25" hidden="false" customHeight="false" outlineLevel="0" collapsed="false">
      <c r="K285" s="15"/>
    </row>
    <row r="286" customFormat="false" ht="14.25" hidden="false" customHeight="false" outlineLevel="0" collapsed="false">
      <c r="K286" s="15"/>
    </row>
    <row r="287" customFormat="false" ht="14.25" hidden="false" customHeight="false" outlineLevel="0" collapsed="false">
      <c r="K287" s="15"/>
    </row>
    <row r="288" customFormat="false" ht="14.25" hidden="false" customHeight="false" outlineLevel="0" collapsed="false">
      <c r="K288" s="15"/>
    </row>
    <row r="289" customFormat="false" ht="14.25" hidden="false" customHeight="false" outlineLevel="0" collapsed="false">
      <c r="K289" s="15"/>
    </row>
    <row r="290" customFormat="false" ht="14.25" hidden="false" customHeight="false" outlineLevel="0" collapsed="false">
      <c r="K290" s="15"/>
    </row>
    <row r="291" customFormat="false" ht="14.25" hidden="false" customHeight="false" outlineLevel="0" collapsed="false">
      <c r="K291" s="15"/>
    </row>
    <row r="292" customFormat="false" ht="14.25" hidden="false" customHeight="false" outlineLevel="0" collapsed="false">
      <c r="K292" s="15"/>
    </row>
    <row r="293" customFormat="false" ht="14.25" hidden="false" customHeight="false" outlineLevel="0" collapsed="false">
      <c r="K293" s="15"/>
    </row>
    <row r="294" customFormat="false" ht="14.25" hidden="false" customHeight="false" outlineLevel="0" collapsed="false">
      <c r="K294" s="15"/>
    </row>
    <row r="295" customFormat="false" ht="14.25" hidden="false" customHeight="false" outlineLevel="0" collapsed="false">
      <c r="K295" s="15"/>
    </row>
    <row r="296" customFormat="false" ht="14.25" hidden="false" customHeight="false" outlineLevel="0" collapsed="false">
      <c r="K296" s="15"/>
    </row>
    <row r="297" customFormat="false" ht="14.25" hidden="false" customHeight="false" outlineLevel="0" collapsed="false">
      <c r="K297" s="15"/>
    </row>
    <row r="298" customFormat="false" ht="14.25" hidden="false" customHeight="false" outlineLevel="0" collapsed="false">
      <c r="K298" s="15"/>
    </row>
    <row r="299" customFormat="false" ht="14.25" hidden="false" customHeight="false" outlineLevel="0" collapsed="false">
      <c r="K299" s="15"/>
    </row>
    <row r="300" customFormat="false" ht="14.25" hidden="false" customHeight="false" outlineLevel="0" collapsed="false">
      <c r="K300" s="15"/>
    </row>
    <row r="301" customFormat="false" ht="14.25" hidden="false" customHeight="false" outlineLevel="0" collapsed="false">
      <c r="K301" s="15"/>
    </row>
    <row r="302" customFormat="false" ht="14.25" hidden="false" customHeight="false" outlineLevel="0" collapsed="false">
      <c r="K302" s="15"/>
    </row>
    <row r="303" customFormat="false" ht="14.25" hidden="false" customHeight="false" outlineLevel="0" collapsed="false">
      <c r="K303" s="15"/>
    </row>
    <row r="304" customFormat="false" ht="14.25" hidden="false" customHeight="false" outlineLevel="0" collapsed="false">
      <c r="K304" s="15"/>
    </row>
    <row r="305" customFormat="false" ht="14.25" hidden="false" customHeight="false" outlineLevel="0" collapsed="false">
      <c r="K305" s="15"/>
    </row>
    <row r="306" customFormat="false" ht="14.25" hidden="false" customHeight="false" outlineLevel="0" collapsed="false">
      <c r="K306" s="15"/>
    </row>
    <row r="307" customFormat="false" ht="14.25" hidden="false" customHeight="false" outlineLevel="0" collapsed="false">
      <c r="K307" s="15"/>
    </row>
    <row r="308" customFormat="false" ht="14.25" hidden="false" customHeight="false" outlineLevel="0" collapsed="false">
      <c r="K308" s="15"/>
    </row>
    <row r="309" customFormat="false" ht="14.25" hidden="false" customHeight="false" outlineLevel="0" collapsed="false">
      <c r="K309" s="15"/>
    </row>
    <row r="310" customFormat="false" ht="14.25" hidden="false" customHeight="false" outlineLevel="0" collapsed="false">
      <c r="K310" s="15"/>
    </row>
    <row r="311" customFormat="false" ht="14.25" hidden="false" customHeight="false" outlineLevel="0" collapsed="false">
      <c r="K311" s="15"/>
    </row>
    <row r="312" customFormat="false" ht="14.25" hidden="false" customHeight="false" outlineLevel="0" collapsed="false">
      <c r="K312" s="15"/>
    </row>
    <row r="313" customFormat="false" ht="14.25" hidden="false" customHeight="false" outlineLevel="0" collapsed="false">
      <c r="K313" s="15"/>
    </row>
    <row r="314" customFormat="false" ht="14.25" hidden="false" customHeight="false" outlineLevel="0" collapsed="false">
      <c r="K314" s="15"/>
    </row>
    <row r="315" customFormat="false" ht="14.25" hidden="false" customHeight="false" outlineLevel="0" collapsed="false">
      <c r="K315" s="15"/>
    </row>
    <row r="316" customFormat="false" ht="14.25" hidden="false" customHeight="false" outlineLevel="0" collapsed="false">
      <c r="K316" s="15"/>
    </row>
    <row r="317" customFormat="false" ht="14.25" hidden="false" customHeight="false" outlineLevel="0" collapsed="false">
      <c r="K317" s="15"/>
    </row>
    <row r="318" customFormat="false" ht="14.25" hidden="false" customHeight="false" outlineLevel="0" collapsed="false">
      <c r="K318" s="15"/>
    </row>
    <row r="319" s="19" customFormat="true" ht="14.25" hidden="false" customHeight="false" outlineLevel="0" collapsed="false">
      <c r="A319" s="1"/>
      <c r="B319" s="1"/>
      <c r="C319" s="1"/>
      <c r="D319" s="1"/>
      <c r="E319" s="1"/>
      <c r="F319" s="1"/>
      <c r="G319" s="1"/>
      <c r="H319" s="34"/>
      <c r="I319" s="1"/>
      <c r="J319" s="1"/>
      <c r="K319" s="15"/>
      <c r="L319" s="1"/>
      <c r="M319" s="1"/>
    </row>
    <row r="320" customFormat="false" ht="14.25" hidden="false" customHeight="false" outlineLevel="0" collapsed="false">
      <c r="K320" s="15"/>
    </row>
    <row r="321" customFormat="false" ht="14.25" hidden="false" customHeight="false" outlineLevel="0" collapsed="false">
      <c r="A321" s="19"/>
      <c r="B321" s="19"/>
      <c r="C321" s="19"/>
      <c r="D321" s="19"/>
      <c r="E321" s="19"/>
      <c r="F321" s="19"/>
      <c r="G321" s="19"/>
      <c r="H321" s="35"/>
      <c r="I321" s="19"/>
      <c r="J321" s="19"/>
      <c r="K321" s="15"/>
      <c r="L321" s="19"/>
      <c r="M321" s="19"/>
    </row>
    <row r="322" customFormat="false" ht="14.25" hidden="false" customHeight="false" outlineLevel="0" collapsed="false">
      <c r="A322" s="14"/>
      <c r="B322" s="14"/>
      <c r="C322" s="14"/>
      <c r="D322" s="14"/>
      <c r="E322" s="14"/>
      <c r="K322" s="15"/>
      <c r="L322" s="16"/>
      <c r="M322" s="3"/>
    </row>
    <row r="323" customFormat="false" ht="14.25" hidden="false" customHeight="false" outlineLevel="0" collapsed="false">
      <c r="K323" s="15"/>
    </row>
    <row r="324" customFormat="false" ht="14.25" hidden="false" customHeight="false" outlineLevel="0" collapsed="false">
      <c r="K324" s="15"/>
    </row>
    <row r="325" customFormat="false" ht="14.25" hidden="false" customHeight="false" outlineLevel="0" collapsed="false">
      <c r="K325" s="15"/>
    </row>
    <row r="326" customFormat="false" ht="14.25" hidden="false" customHeight="false" outlineLevel="0" collapsed="false">
      <c r="K326" s="15"/>
    </row>
    <row r="327" customFormat="false" ht="14.25" hidden="false" customHeight="false" outlineLevel="0" collapsed="false">
      <c r="K327" s="15"/>
    </row>
    <row r="328" customFormat="false" ht="14.25" hidden="false" customHeight="false" outlineLevel="0" collapsed="false">
      <c r="K328" s="15"/>
    </row>
    <row r="329" customFormat="false" ht="14.25" hidden="false" customHeight="false" outlineLevel="0" collapsed="false">
      <c r="K329" s="15"/>
    </row>
    <row r="330" customFormat="false" ht="14.25" hidden="false" customHeight="false" outlineLevel="0" collapsed="false">
      <c r="K330" s="15"/>
    </row>
    <row r="331" customFormat="false" ht="14.25" hidden="false" customHeight="false" outlineLevel="0" collapsed="false">
      <c r="K331" s="15"/>
    </row>
    <row r="332" customFormat="false" ht="14.25" hidden="false" customHeight="false" outlineLevel="0" collapsed="false">
      <c r="K332" s="15"/>
    </row>
    <row r="333" customFormat="false" ht="14.25" hidden="false" customHeight="false" outlineLevel="0" collapsed="false">
      <c r="K333" s="15"/>
    </row>
    <row r="334" customFormat="false" ht="14.25" hidden="false" customHeight="false" outlineLevel="0" collapsed="false">
      <c r="K334" s="15"/>
    </row>
    <row r="335" customFormat="false" ht="14.25" hidden="false" customHeight="false" outlineLevel="0" collapsed="false">
      <c r="K335" s="15"/>
    </row>
    <row r="336" customFormat="false" ht="14.25" hidden="false" customHeight="false" outlineLevel="0" collapsed="false">
      <c r="K336" s="15"/>
    </row>
    <row r="337" customFormat="false" ht="14.25" hidden="false" customHeight="false" outlineLevel="0" collapsed="false">
      <c r="K337" s="15"/>
    </row>
    <row r="338" customFormat="false" ht="14.25" hidden="false" customHeight="false" outlineLevel="0" collapsed="false">
      <c r="K338" s="15"/>
    </row>
    <row r="339" customFormat="false" ht="14.25" hidden="false" customHeight="false" outlineLevel="0" collapsed="false">
      <c r="K339" s="15"/>
    </row>
    <row r="340" customFormat="false" ht="14.25" hidden="false" customHeight="false" outlineLevel="0" collapsed="false">
      <c r="K340" s="15"/>
    </row>
    <row r="341" customFormat="false" ht="14.25" hidden="false" customHeight="false" outlineLevel="0" collapsed="false">
      <c r="K341" s="15"/>
    </row>
    <row r="342" customFormat="false" ht="14.25" hidden="false" customHeight="false" outlineLevel="0" collapsed="false">
      <c r="K342" s="15"/>
    </row>
    <row r="343" customFormat="false" ht="14.25" hidden="false" customHeight="false" outlineLevel="0" collapsed="false">
      <c r="K343" s="15"/>
    </row>
    <row r="344" customFormat="false" ht="14.25" hidden="false" customHeight="false" outlineLevel="0" collapsed="false">
      <c r="K344" s="15"/>
    </row>
    <row r="345" customFormat="false" ht="14.25" hidden="false" customHeight="false" outlineLevel="0" collapsed="false">
      <c r="K345" s="15"/>
    </row>
    <row r="346" customFormat="false" ht="14.25" hidden="false" customHeight="false" outlineLevel="0" collapsed="false">
      <c r="K346" s="15"/>
    </row>
    <row r="347" customFormat="false" ht="14.25" hidden="false" customHeight="false" outlineLevel="0" collapsed="false">
      <c r="K347" s="15"/>
    </row>
    <row r="348" customFormat="false" ht="14.25" hidden="false" customHeight="false" outlineLevel="0" collapsed="false">
      <c r="K348" s="15"/>
    </row>
    <row r="349" customFormat="false" ht="14.25" hidden="false" customHeight="false" outlineLevel="0" collapsed="false">
      <c r="K349" s="15"/>
    </row>
    <row r="350" customFormat="false" ht="14.25" hidden="false" customHeight="false" outlineLevel="0" collapsed="false">
      <c r="K350" s="15"/>
    </row>
    <row r="351" customFormat="false" ht="14.25" hidden="false" customHeight="false" outlineLevel="0" collapsed="false">
      <c r="K351" s="15"/>
    </row>
    <row r="352" customFormat="false" ht="14.25" hidden="false" customHeight="false" outlineLevel="0" collapsed="false">
      <c r="K352" s="15"/>
    </row>
    <row r="353" customFormat="false" ht="14.25" hidden="false" customHeight="false" outlineLevel="0" collapsed="false">
      <c r="K353" s="15"/>
    </row>
    <row r="354" customFormat="false" ht="14.25" hidden="false" customHeight="false" outlineLevel="0" collapsed="false">
      <c r="K354" s="15"/>
    </row>
    <row r="355" customFormat="false" ht="14.25" hidden="false" customHeight="false" outlineLevel="0" collapsed="false">
      <c r="K355" s="15"/>
    </row>
    <row r="356" customFormat="false" ht="14.25" hidden="false" customHeight="false" outlineLevel="0" collapsed="false">
      <c r="K356" s="15"/>
    </row>
    <row r="357" customFormat="false" ht="14.25" hidden="false" customHeight="false" outlineLevel="0" collapsed="false">
      <c r="K357" s="15"/>
    </row>
    <row r="358" customFormat="false" ht="14.25" hidden="false" customHeight="false" outlineLevel="0" collapsed="false">
      <c r="K358" s="15"/>
    </row>
    <row r="359" customFormat="false" ht="14.25" hidden="false" customHeight="false" outlineLevel="0" collapsed="false">
      <c r="K359" s="15"/>
    </row>
    <row r="360" customFormat="false" ht="14.25" hidden="false" customHeight="false" outlineLevel="0" collapsed="false">
      <c r="K360" s="15"/>
    </row>
    <row r="361" customFormat="false" ht="14.25" hidden="false" customHeight="false" outlineLevel="0" collapsed="false">
      <c r="K361" s="15"/>
    </row>
    <row r="362" customFormat="false" ht="14.25" hidden="false" customHeight="false" outlineLevel="0" collapsed="false">
      <c r="K362" s="15"/>
    </row>
    <row r="363" customFormat="false" ht="14.25" hidden="false" customHeight="false" outlineLevel="0" collapsed="false">
      <c r="K363" s="15"/>
    </row>
    <row r="364" customFormat="false" ht="14.25" hidden="false" customHeight="false" outlineLevel="0" collapsed="false">
      <c r="K364" s="15"/>
    </row>
    <row r="365" customFormat="false" ht="14.25" hidden="false" customHeight="false" outlineLevel="0" collapsed="false">
      <c r="K365" s="15"/>
    </row>
    <row r="366" customFormat="false" ht="14.25" hidden="false" customHeight="false" outlineLevel="0" collapsed="false">
      <c r="K366" s="15"/>
    </row>
  </sheetData>
  <conditionalFormatting sqref="K1:K366">
    <cfRule type="cellIs" priority="2" operator="notBetween" aboveAverage="0" equalAverage="0" bottom="0" percent="0" rank="0" text="" dxfId="3">
      <formula>0</formula>
      <formula>90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192</TotalTime>
  <Application>LibreOffice/24.8.5.2$Windows_X86_64 LibreOffice_project/fddf2685c70b461e7832239a0162a77216259f22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2023-08-09T09:16:43Z</dcterms:created>
  <dc:creator>Chloë Deelkens</dc:creator>
  <dc:description/>
  <dc:language>en-US</dc:language>
  <cp:lastModifiedBy/>
  <dcterms:modified xsi:type="dcterms:W3CDTF">2025-04-06T21:36:49Z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