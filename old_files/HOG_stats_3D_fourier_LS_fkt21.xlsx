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chloe_deelkens_ugent_be/Documents/PhD Kweekvlees/Results/WP1 iPSC-ESC_Chloe Deelkens/Processed data/Stimulation/PEMFS - 3D/Directionality/Fiji/"/>
    </mc:Choice>
  </mc:AlternateContent>
  <xr:revisionPtr revIDLastSave="449" documentId="8_{311798AF-5B7D-4FE0-AD92-9527FB96DB4A}" xr6:coauthVersionLast="47" xr6:coauthVersionMax="47" xr10:uidLastSave="{FE7F36E2-203E-43EE-B896-46C2E0C67626}"/>
  <bookViews>
    <workbookView xWindow="6405" yWindow="-16320" windowWidth="29040" windowHeight="15840" tabRatio="500" xr2:uid="{00000000-000D-0000-FFFF-FFFF00000000}"/>
  </bookViews>
  <sheets>
    <sheet name="CTR" sheetId="1" r:id="rId1"/>
    <sheet name="2h" sheetId="2" r:id="rId2"/>
    <sheet name="1.50.5" sheetId="3" r:id="rId3"/>
    <sheet name="Fig fij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7" i="1" l="1" a="1"/>
  <c r="L7" i="1" s="1"/>
  <c r="L16" i="1" s="1"/>
  <c r="L326" i="3"/>
  <c r="L279" i="3"/>
  <c r="L235" i="3"/>
  <c r="L191" i="3"/>
  <c r="L145" i="3"/>
  <c r="L100" i="3"/>
  <c r="L57" i="3"/>
  <c r="L11" i="3"/>
  <c r="L414" i="2"/>
  <c r="L369" i="2"/>
  <c r="L324" i="2"/>
  <c r="L280" i="2"/>
  <c r="L234" i="2"/>
  <c r="L189" i="2"/>
  <c r="L145" i="2"/>
  <c r="L101" i="2"/>
  <c r="L55" i="2"/>
  <c r="L324" i="1"/>
  <c r="L280" i="1"/>
  <c r="L234" i="1"/>
  <c r="L190" i="1"/>
  <c r="L146" i="1"/>
  <c r="L101" i="1"/>
  <c r="L55" i="1"/>
  <c r="L9" i="2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I3" i="4"/>
  <c r="K8" i="2"/>
  <c r="K7" i="2"/>
  <c r="K323" i="3"/>
  <c r="K324" i="3"/>
  <c r="K325" i="3"/>
  <c r="K326" i="3"/>
  <c r="K327" i="3"/>
  <c r="K328" i="3"/>
  <c r="K329" i="3"/>
  <c r="M322" i="3" s="1" a="1"/>
  <c r="M322" i="3" s="1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22" i="3"/>
  <c r="K278" i="3"/>
  <c r="M277" i="3" s="1" a="1"/>
  <c r="M277" i="3" s="1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277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32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187" i="3"/>
  <c r="K143" i="3"/>
  <c r="L142" i="3" s="1" a="1"/>
  <c r="L142" i="3" s="1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42" i="3"/>
  <c r="K98" i="3"/>
  <c r="L97" i="3" s="1" a="1"/>
  <c r="L97" i="3" s="1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M97" i="3" s="1" a="1"/>
  <c r="M97" i="3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97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52" i="3"/>
  <c r="K7" i="3"/>
  <c r="K413" i="2"/>
  <c r="M412" i="2" s="1" a="1"/>
  <c r="M412" i="2" s="1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12" i="2"/>
  <c r="K368" i="2"/>
  <c r="M367" i="2" s="1" a="1"/>
  <c r="M367" i="2" s="1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367" i="2"/>
  <c r="K323" i="2"/>
  <c r="K324" i="2"/>
  <c r="K325" i="2"/>
  <c r="K326" i="2"/>
  <c r="M322" i="2" s="1" a="1"/>
  <c r="M322" i="2" s="1"/>
  <c r="K327" i="2"/>
  <c r="K328" i="2"/>
  <c r="K329" i="2"/>
  <c r="K330" i="2"/>
  <c r="L322" i="2" s="1" a="1"/>
  <c r="L322" i="2" s="1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22" i="2"/>
  <c r="K278" i="2"/>
  <c r="K279" i="2"/>
  <c r="K280" i="2"/>
  <c r="K281" i="2"/>
  <c r="K282" i="2"/>
  <c r="K283" i="2"/>
  <c r="K284" i="2"/>
  <c r="L277" i="2" s="1" a="1"/>
  <c r="L277" i="2" s="1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277" i="2"/>
  <c r="K233" i="2"/>
  <c r="K234" i="2"/>
  <c r="K235" i="2"/>
  <c r="K236" i="2"/>
  <c r="K237" i="2"/>
  <c r="K238" i="2"/>
  <c r="M232" i="2" s="1" a="1"/>
  <c r="M232" i="2" s="1"/>
  <c r="K239" i="2"/>
  <c r="L232" i="2" s="1" a="1"/>
  <c r="L232" i="2" s="1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32" i="2"/>
  <c r="K188" i="2"/>
  <c r="K189" i="2"/>
  <c r="L187" i="2" s="1" a="1"/>
  <c r="L187" i="2" s="1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187" i="2"/>
  <c r="K143" i="2"/>
  <c r="L142" i="2" s="1" a="1"/>
  <c r="L142" i="2" s="1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42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97" i="2"/>
  <c r="K53" i="2"/>
  <c r="K54" i="2"/>
  <c r="K55" i="2"/>
  <c r="K56" i="2"/>
  <c r="K57" i="2"/>
  <c r="K58" i="2"/>
  <c r="M52" i="2" s="1" a="1"/>
  <c r="M52" i="2" s="1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52" i="2"/>
  <c r="K323" i="1"/>
  <c r="M322" i="1" s="1" a="1"/>
  <c r="M322" i="1" s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22" i="1"/>
  <c r="K278" i="1"/>
  <c r="K279" i="1"/>
  <c r="K280" i="1"/>
  <c r="K281" i="1"/>
  <c r="K282" i="1"/>
  <c r="K283" i="1"/>
  <c r="M277" i="1" s="1" a="1"/>
  <c r="M277" i="1" s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277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32" i="1"/>
  <c r="K188" i="1"/>
  <c r="K189" i="1"/>
  <c r="M187" i="1" s="1" a="1"/>
  <c r="M187" i="1" s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187" i="1"/>
  <c r="K143" i="1"/>
  <c r="K144" i="1"/>
  <c r="K145" i="1"/>
  <c r="K146" i="1"/>
  <c r="M142" i="1" s="1" a="1"/>
  <c r="M142" i="1" s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42" i="1"/>
  <c r="K98" i="1"/>
  <c r="K99" i="1"/>
  <c r="K100" i="1"/>
  <c r="L97" i="1" s="1" a="1"/>
  <c r="L97" i="1" s="1"/>
  <c r="K101" i="1"/>
  <c r="K102" i="1"/>
  <c r="K103" i="1"/>
  <c r="M97" i="1" s="1" a="1"/>
  <c r="M97" i="1" s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97" i="1"/>
  <c r="K53" i="1"/>
  <c r="M52" i="1" s="1" a="1"/>
  <c r="M52" i="1" s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52" i="1"/>
  <c r="M7" i="1" a="1"/>
  <c r="M7" i="1" s="1"/>
  <c r="K7" i="1"/>
  <c r="K8" i="3"/>
  <c r="K9" i="3"/>
  <c r="K10" i="3"/>
  <c r="K11" i="3"/>
  <c r="M7" i="3" s="1" a="1"/>
  <c r="M7" i="3" s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M277" i="2" a="1"/>
  <c r="M277" i="2" s="1"/>
  <c r="M187" i="2" a="1"/>
  <c r="M187" i="2" s="1"/>
  <c r="M142" i="2" a="1"/>
  <c r="M142" i="2" s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3" i="3"/>
  <c r="I3" i="2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3" i="1"/>
  <c r="M97" i="4" l="1" a="1"/>
  <c r="M97" i="4" s="1"/>
  <c r="M52" i="4" a="1"/>
  <c r="M52" i="4" s="1"/>
  <c r="L52" i="4" a="1"/>
  <c r="L52" i="4" s="1"/>
  <c r="M7" i="4" a="1"/>
  <c r="M7" i="4" s="1"/>
  <c r="L7" i="4" a="1"/>
  <c r="L7" i="4" s="1"/>
  <c r="L97" i="4" a="1"/>
  <c r="L97" i="4" s="1"/>
  <c r="L7" i="2" a="1"/>
  <c r="L7" i="2" s="1"/>
  <c r="M7" i="2" a="1"/>
  <c r="M7" i="2" s="1"/>
  <c r="L322" i="3" a="1"/>
  <c r="L322" i="3" s="1"/>
  <c r="L277" i="3" a="1"/>
  <c r="L277" i="3" s="1"/>
  <c r="M232" i="3" a="1"/>
  <c r="M232" i="3" s="1"/>
  <c r="L232" i="3" a="1"/>
  <c r="L232" i="3" s="1"/>
  <c r="M187" i="3" a="1"/>
  <c r="M187" i="3" s="1"/>
  <c r="L187" i="3" a="1"/>
  <c r="L187" i="3" s="1"/>
  <c r="M142" i="3" a="1"/>
  <c r="M142" i="3" s="1"/>
  <c r="M52" i="3" a="1"/>
  <c r="M52" i="3" s="1"/>
  <c r="L52" i="3" a="1"/>
  <c r="L52" i="3" s="1"/>
  <c r="L412" i="2" a="1"/>
  <c r="L412" i="2" s="1"/>
  <c r="L367" i="2" a="1"/>
  <c r="L367" i="2" s="1"/>
  <c r="M97" i="2" a="1"/>
  <c r="M97" i="2" s="1"/>
  <c r="L97" i="2" a="1"/>
  <c r="L97" i="2" s="1"/>
  <c r="L52" i="2" a="1"/>
  <c r="L52" i="2" s="1"/>
  <c r="L322" i="1" a="1"/>
  <c r="L322" i="1" s="1"/>
  <c r="L277" i="1" a="1"/>
  <c r="L277" i="1" s="1"/>
  <c r="M232" i="1" a="1"/>
  <c r="M232" i="1" s="1"/>
  <c r="L232" i="1" a="1"/>
  <c r="L232" i="1" s="1"/>
  <c r="L187" i="1" a="1"/>
  <c r="L187" i="1" s="1"/>
  <c r="L142" i="1" a="1"/>
  <c r="L142" i="1" s="1"/>
  <c r="L52" i="1" a="1"/>
  <c r="L52" i="1" s="1"/>
  <c r="L7" i="3" a="1"/>
  <c r="L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<sst xmlns="http://schemas.openxmlformats.org/spreadsheetml/2006/main" count="117" uniqueCount="40">
  <si>
    <t>Directionality Measurements</t>
  </si>
  <si>
    <t xml:space="preserve">bMyoB fkt16 P2 </t>
  </si>
  <si>
    <t>column below must</t>
  </si>
  <si>
    <t xml:space="preserve">Condition: </t>
  </si>
  <si>
    <t>PEMS stimulation</t>
  </si>
  <si>
    <t xml:space="preserve"> have values &lt;= 90</t>
  </si>
  <si>
    <t>OLD</t>
  </si>
  <si>
    <t>NEW</t>
  </si>
  <si>
    <t xml:space="preserve">Name </t>
  </si>
  <si>
    <t>Direction °</t>
  </si>
  <si>
    <t>Dispersion °</t>
  </si>
  <si>
    <t xml:space="preserve">Amount </t>
  </si>
  <si>
    <t xml:space="preserve">Goodness </t>
  </si>
  <si>
    <t>Fourier component</t>
  </si>
  <si>
    <t xml:space="preserve">Fourier fit </t>
  </si>
  <si>
    <t xml:space="preserve">Directionality vs main </t>
  </si>
  <si>
    <t xml:space="preserve">Average Directionality </t>
  </si>
  <si>
    <t xml:space="preserve">Direction vs main </t>
  </si>
  <si>
    <t>DEV.  formula (standard dev.)</t>
  </si>
  <si>
    <t>dev. formula (absolute dev.)</t>
  </si>
  <si>
    <t>0,30</t>
  </si>
  <si>
    <t>20241115 bMyoB fkt21 P3_2h R2-Image Export-29_i2z005c1-2 (15-115)</t>
  </si>
  <si>
    <t>20241115 bMyoB fkt21 P3_ctr R2-Image Export-35_i2z70c1-2 (70-10)</t>
  </si>
  <si>
    <t>20241115 bMyoB fkt21 P3_1_5'0_5' R2-Image Export-20_i1z10c1-2 (10's)</t>
  </si>
  <si>
    <t>0,29</t>
  </si>
  <si>
    <t>20241115 bMyoB fkt21 P3_1_5'0_5' R2_3-Image Export-19_i1z07c1-2</t>
  </si>
  <si>
    <t>0,36</t>
  </si>
  <si>
    <t>0,26</t>
  </si>
  <si>
    <t>14,71</t>
  </si>
  <si>
    <t>0,15</t>
  </si>
  <si>
    <t>20241115 bMyoB fkt21 P3_2h R1.3_i1z55_Cam1-T1</t>
  </si>
  <si>
    <t>9,93</t>
  </si>
  <si>
    <t>0,51</t>
  </si>
  <si>
    <t>0,83</t>
  </si>
  <si>
    <t>20241115 bMyoB fkt21 P3_1.5'0.5' R1.3_i1z122_Cam1-T1</t>
  </si>
  <si>
    <t>4,26</t>
  </si>
  <si>
    <t>0,59</t>
  </si>
  <si>
    <t>0,96</t>
  </si>
  <si>
    <t>20241115 bMyoB fkt21 P3_ctr R1.3_i1z039c1</t>
  </si>
  <si>
    <t>7-2.4)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</si>
</sst>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5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D9D9D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4" fillId="3" borderId="7" applyNumberFormat="0" applyAlignment="0" applyProtection="0"/>
  </cellStyleXfs>
  <cellXfs count="31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5" xfId="0" applyBorder="1"/>
    <xf numFmtId="0" fontId="0" fillId="0" borderId="6" xfId="0" applyBorder="1"/>
    <xf numFmtId="3" fontId="0" fillId="0" borderId="5" xfId="0" applyNumberFormat="1" applyBorder="1"/>
    <xf numFmtId="1" fontId="0" fillId="0" borderId="5" xfId="0" applyNumberFormat="1" applyBorder="1"/>
    <xf numFmtId="2" fontId="0" fillId="0" borderId="5" xfId="0" applyNumberFormat="1" applyBorder="1"/>
    <xf numFmtId="165" fontId="0" fillId="0" borderId="0" xfId="0" applyNumberFormat="1"/>
    <xf numFmtId="165" fontId="0" fillId="0" borderId="1" xfId="0" applyNumberFormat="1" applyBorder="1"/>
    <xf numFmtId="165" fontId="0" fillId="2" borderId="2" xfId="0" applyNumberFormat="1" applyFill="1" applyBorder="1" applyAlignment="1">
      <alignment horizontal="center"/>
    </xf>
    <xf numFmtId="165" fontId="0" fillId="0" borderId="5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2" fontId="0" fillId="0" borderId="8" xfId="0" applyNumberFormat="1" applyBorder="1"/>
    <xf numFmtId="1" fontId="0" fillId="0" borderId="8" xfId="0" applyNumberFormat="1" applyBorder="1"/>
    <xf numFmtId="0" fontId="0" fillId="0" borderId="8" xfId="0" applyBorder="1"/>
    <xf numFmtId="0" fontId="4" fillId="3" borderId="7" xfId="1"/>
  </cellXfs>
  <cellStyles count="2">
    <cellStyle name="Normal" xfId="0" builtinId="0"/>
    <cellStyle name="Output" xfId="1" builtinId="21"/>
  </cellStyles>
  <dxfs count="4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  <alignment horizontal="general" vertical="bottom" textRotation="0" wrapText="0" indent="0" shrinkToFit="0"/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  <alignment horizontal="general" vertical="bottom" textRotation="0" wrapText="0" indent="0" shrinkToFit="0"/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  <alignment horizontal="general" vertical="bottom" textRotation="0" wrapText="0" indent="0" shrinkToFit="0"/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E7E6E6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Directionality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CTR!$I$1:$I$6</c:f>
              <c:strCache>
                <c:ptCount val="6"/>
                <c:pt idx="2">
                  <c:v>0</c:v>
                </c:pt>
                <c:pt idx="4">
                  <c:v>OLD</c:v>
                </c:pt>
                <c:pt idx="5">
                  <c:v>Directionality vs main 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CTR!$I$7:$I$51</c:f>
              <c:numCache>
                <c:formatCode>#,##0</c:formatCode>
                <c:ptCount val="45"/>
                <c:pt idx="0">
                  <c:v>-149.27000000000001</c:v>
                </c:pt>
                <c:pt idx="1">
                  <c:v>-145.179090909</c:v>
                </c:pt>
                <c:pt idx="2">
                  <c:v>-141.08818181800001</c:v>
                </c:pt>
                <c:pt idx="3">
                  <c:v>-136.997272727</c:v>
                </c:pt>
                <c:pt idx="4">
                  <c:v>-132.90636363600001</c:v>
                </c:pt>
                <c:pt idx="5">
                  <c:v>-128.81545454499999</c:v>
                </c:pt>
                <c:pt idx="6">
                  <c:v>-124.724545455</c:v>
                </c:pt>
                <c:pt idx="7">
                  <c:v>-120.63363636400001</c:v>
                </c:pt>
                <c:pt idx="8">
                  <c:v>-116.542727273</c:v>
                </c:pt>
                <c:pt idx="9">
                  <c:v>-112.45181818200001</c:v>
                </c:pt>
                <c:pt idx="10">
                  <c:v>-108.360909091</c:v>
                </c:pt>
                <c:pt idx="11">
                  <c:v>-104.27000000000001</c:v>
                </c:pt>
                <c:pt idx="12">
                  <c:v>-100.179090909</c:v>
                </c:pt>
                <c:pt idx="13">
                  <c:v>-96.08818181800001</c:v>
                </c:pt>
                <c:pt idx="14">
                  <c:v>-91.997272726999995</c:v>
                </c:pt>
                <c:pt idx="15">
                  <c:v>-87.906363636000009</c:v>
                </c:pt>
                <c:pt idx="16">
                  <c:v>-83.815454544999994</c:v>
                </c:pt>
                <c:pt idx="17">
                  <c:v>-79.724545454999998</c:v>
                </c:pt>
                <c:pt idx="18">
                  <c:v>-75.633636364000012</c:v>
                </c:pt>
                <c:pt idx="19">
                  <c:v>-71.542727272999997</c:v>
                </c:pt>
                <c:pt idx="20">
                  <c:v>-67.451818182000011</c:v>
                </c:pt>
                <c:pt idx="21">
                  <c:v>-63.360909091000003</c:v>
                </c:pt>
                <c:pt idx="22">
                  <c:v>-59.27</c:v>
                </c:pt>
                <c:pt idx="23">
                  <c:v>-55.179090909000003</c:v>
                </c:pt>
                <c:pt idx="24">
                  <c:v>-51.088181818000002</c:v>
                </c:pt>
                <c:pt idx="25">
                  <c:v>-46.997272727000002</c:v>
                </c:pt>
                <c:pt idx="26">
                  <c:v>-42.906363636000002</c:v>
                </c:pt>
                <c:pt idx="27">
                  <c:v>-38.815454545000001</c:v>
                </c:pt>
                <c:pt idx="28">
                  <c:v>-34.724545455000005</c:v>
                </c:pt>
                <c:pt idx="29">
                  <c:v>-30.633636364000004</c:v>
                </c:pt>
                <c:pt idx="30">
                  <c:v>-26.542727273000004</c:v>
                </c:pt>
                <c:pt idx="31">
                  <c:v>-22.451818182000004</c:v>
                </c:pt>
                <c:pt idx="32">
                  <c:v>-18.360909091000003</c:v>
                </c:pt>
                <c:pt idx="33">
                  <c:v>-14.270000000000003</c:v>
                </c:pt>
                <c:pt idx="34">
                  <c:v>-10.179090909000003</c:v>
                </c:pt>
                <c:pt idx="35">
                  <c:v>-6.0881818180000025</c:v>
                </c:pt>
                <c:pt idx="36">
                  <c:v>-1.9972727270000021</c:v>
                </c:pt>
                <c:pt idx="37">
                  <c:v>2.0936363639999982</c:v>
                </c:pt>
                <c:pt idx="38">
                  <c:v>6.1845454549999985</c:v>
                </c:pt>
                <c:pt idx="39">
                  <c:v>10.275454544999995</c:v>
                </c:pt>
                <c:pt idx="40">
                  <c:v>14.366363635999996</c:v>
                </c:pt>
                <c:pt idx="41">
                  <c:v>18.457272726999996</c:v>
                </c:pt>
                <c:pt idx="42">
                  <c:v>22.548181817999996</c:v>
                </c:pt>
                <c:pt idx="43">
                  <c:v>26.639090908999997</c:v>
                </c:pt>
                <c:pt idx="44">
                  <c:v>30.729999999999997</c:v>
                </c:pt>
              </c:numCache>
            </c:numRef>
          </c:xVal>
          <c:yVal>
            <c:numRef>
              <c:f>CTR!$G$7:$G$51</c:f>
              <c:numCache>
                <c:formatCode>0.0000000</c:formatCode>
                <c:ptCount val="45"/>
                <c:pt idx="0">
                  <c:v>1.0921370999999999E-2</c:v>
                </c:pt>
                <c:pt idx="1">
                  <c:v>8.1389770000000004E-3</c:v>
                </c:pt>
                <c:pt idx="2">
                  <c:v>6.9660240000000003E-3</c:v>
                </c:pt>
                <c:pt idx="3">
                  <c:v>5.7411440000000001E-3</c:v>
                </c:pt>
                <c:pt idx="4">
                  <c:v>4.9751400000000003E-3</c:v>
                </c:pt>
                <c:pt idx="5">
                  <c:v>4.466785E-3</c:v>
                </c:pt>
                <c:pt idx="6">
                  <c:v>4.0896830000000002E-3</c:v>
                </c:pt>
                <c:pt idx="7">
                  <c:v>3.846323E-3</c:v>
                </c:pt>
                <c:pt idx="8">
                  <c:v>3.6951050000000002E-3</c:v>
                </c:pt>
                <c:pt idx="9">
                  <c:v>3.5071730000000001E-3</c:v>
                </c:pt>
                <c:pt idx="10">
                  <c:v>3.3902569999999998E-3</c:v>
                </c:pt>
                <c:pt idx="11">
                  <c:v>3.4346440000000002E-3</c:v>
                </c:pt>
                <c:pt idx="12">
                  <c:v>3.3947769999999999E-3</c:v>
                </c:pt>
                <c:pt idx="13">
                  <c:v>3.3907870000000001E-3</c:v>
                </c:pt>
                <c:pt idx="14">
                  <c:v>3.4801110000000001E-3</c:v>
                </c:pt>
                <c:pt idx="15">
                  <c:v>3.4354170000000001E-3</c:v>
                </c:pt>
                <c:pt idx="16">
                  <c:v>3.4955239999999999E-3</c:v>
                </c:pt>
                <c:pt idx="17">
                  <c:v>3.6795489999999998E-3</c:v>
                </c:pt>
                <c:pt idx="18">
                  <c:v>3.8385329999999999E-3</c:v>
                </c:pt>
                <c:pt idx="19">
                  <c:v>3.8385950000000002E-3</c:v>
                </c:pt>
                <c:pt idx="20">
                  <c:v>4.0789880000000004E-3</c:v>
                </c:pt>
                <c:pt idx="21">
                  <c:v>4.3260900000000003E-3</c:v>
                </c:pt>
                <c:pt idx="22">
                  <c:v>4.8024900000000004E-3</c:v>
                </c:pt>
                <c:pt idx="23">
                  <c:v>5.3200360000000002E-3</c:v>
                </c:pt>
                <c:pt idx="24">
                  <c:v>5.7345870000000002E-3</c:v>
                </c:pt>
                <c:pt idx="25">
                  <c:v>5.9887200000000003E-3</c:v>
                </c:pt>
                <c:pt idx="26">
                  <c:v>6.2858089999999998E-3</c:v>
                </c:pt>
                <c:pt idx="27">
                  <c:v>7.2921649999999998E-3</c:v>
                </c:pt>
                <c:pt idx="28">
                  <c:v>8.6001540000000005E-3</c:v>
                </c:pt>
                <c:pt idx="29">
                  <c:v>1.03003E-2</c:v>
                </c:pt>
                <c:pt idx="30">
                  <c:v>1.2624122999999999E-2</c:v>
                </c:pt>
                <c:pt idx="31">
                  <c:v>1.9144543E-2</c:v>
                </c:pt>
                <c:pt idx="32">
                  <c:v>3.2287082000000002E-2</c:v>
                </c:pt>
                <c:pt idx="33">
                  <c:v>6.4786567000000003E-2</c:v>
                </c:pt>
                <c:pt idx="34">
                  <c:v>7.6843648000000001E-2</c:v>
                </c:pt>
                <c:pt idx="35">
                  <c:v>0.101981498</c:v>
                </c:pt>
                <c:pt idx="36">
                  <c:v>0.11193125800000001</c:v>
                </c:pt>
                <c:pt idx="37">
                  <c:v>9.5897205999999999E-2</c:v>
                </c:pt>
                <c:pt idx="38">
                  <c:v>0.106758318</c:v>
                </c:pt>
                <c:pt idx="39">
                  <c:v>8.2877848000000004E-2</c:v>
                </c:pt>
                <c:pt idx="40">
                  <c:v>4.5435296999999999E-2</c:v>
                </c:pt>
                <c:pt idx="41">
                  <c:v>3.9624340000000001E-2</c:v>
                </c:pt>
                <c:pt idx="42">
                  <c:v>2.8878088999999999E-2</c:v>
                </c:pt>
                <c:pt idx="43">
                  <c:v>1.5553549E-2</c:v>
                </c:pt>
                <c:pt idx="44">
                  <c:v>1.0921370999999999E-2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6E-4730-8F26-1A74512FD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86184"/>
        <c:axId val="52869776"/>
      </c:scatterChart>
      <c:valAx>
        <c:axId val="8838618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nl-BE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Direction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52869776"/>
        <c:crosses val="autoZero"/>
        <c:crossBetween val="midCat"/>
      </c:valAx>
      <c:valAx>
        <c:axId val="528697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nl-BE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883861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nl-BE" sz="1400" b="0" u="none" strike="noStrike">
                <a:solidFill>
                  <a:srgbClr val="595959"/>
                </a:solidFill>
                <a:uFillTx/>
                <a:latin typeface="Calibri"/>
              </a:rPr>
              <a:t>Directionality of PEM stimulated fkt16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repl1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CTR!$J$7:$J$51</c:f>
              <c:numCache>
                <c:formatCode>0</c:formatCode>
                <c:ptCount val="45"/>
                <c:pt idx="0">
                  <c:v>30.72999999999999</c:v>
                </c:pt>
                <c:pt idx="1">
                  <c:v>34.820909091000004</c:v>
                </c:pt>
                <c:pt idx="2">
                  <c:v>38.91181818199999</c:v>
                </c:pt>
                <c:pt idx="3">
                  <c:v>43.002727273000005</c:v>
                </c:pt>
                <c:pt idx="4">
                  <c:v>47.093636363999991</c:v>
                </c:pt>
                <c:pt idx="5">
                  <c:v>51.184545455000006</c:v>
                </c:pt>
                <c:pt idx="6">
                  <c:v>55.275454545000002</c:v>
                </c:pt>
                <c:pt idx="7">
                  <c:v>59.366363635999988</c:v>
                </c:pt>
                <c:pt idx="8">
                  <c:v>63.457272727000003</c:v>
                </c:pt>
                <c:pt idx="9">
                  <c:v>67.548181817999989</c:v>
                </c:pt>
                <c:pt idx="10">
                  <c:v>71.639090909000004</c:v>
                </c:pt>
                <c:pt idx="11">
                  <c:v>75.72999999999999</c:v>
                </c:pt>
                <c:pt idx="12">
                  <c:v>79.820909091000004</c:v>
                </c:pt>
                <c:pt idx="13">
                  <c:v>83.91181818199999</c:v>
                </c:pt>
                <c:pt idx="14">
                  <c:v>88.002727273000005</c:v>
                </c:pt>
                <c:pt idx="15">
                  <c:v>-87.906363636000009</c:v>
                </c:pt>
                <c:pt idx="16">
                  <c:v>-83.815454544999994</c:v>
                </c:pt>
                <c:pt idx="17">
                  <c:v>-79.724545454999998</c:v>
                </c:pt>
                <c:pt idx="18">
                  <c:v>-75.633636364000012</c:v>
                </c:pt>
                <c:pt idx="19">
                  <c:v>-71.542727272999997</c:v>
                </c:pt>
                <c:pt idx="20">
                  <c:v>-67.451818182000011</c:v>
                </c:pt>
                <c:pt idx="21">
                  <c:v>-63.360909091000003</c:v>
                </c:pt>
                <c:pt idx="22">
                  <c:v>-59.27</c:v>
                </c:pt>
                <c:pt idx="23">
                  <c:v>-55.179090909000003</c:v>
                </c:pt>
                <c:pt idx="24">
                  <c:v>-51.088181818000002</c:v>
                </c:pt>
                <c:pt idx="25">
                  <c:v>-46.997272727000002</c:v>
                </c:pt>
                <c:pt idx="26">
                  <c:v>-42.906363636000002</c:v>
                </c:pt>
                <c:pt idx="27">
                  <c:v>-38.815454545000001</c:v>
                </c:pt>
                <c:pt idx="28">
                  <c:v>-34.724545455000005</c:v>
                </c:pt>
                <c:pt idx="29">
                  <c:v>-30.633636364000004</c:v>
                </c:pt>
                <c:pt idx="30">
                  <c:v>-26.542727273000004</c:v>
                </c:pt>
                <c:pt idx="31">
                  <c:v>-22.451818182000004</c:v>
                </c:pt>
                <c:pt idx="32">
                  <c:v>-18.360909091000003</c:v>
                </c:pt>
                <c:pt idx="33">
                  <c:v>-14.270000000000003</c:v>
                </c:pt>
                <c:pt idx="34">
                  <c:v>-10.179090909000003</c:v>
                </c:pt>
                <c:pt idx="35">
                  <c:v>-6.0881818180000025</c:v>
                </c:pt>
                <c:pt idx="36">
                  <c:v>-1.9972727270000021</c:v>
                </c:pt>
                <c:pt idx="37">
                  <c:v>2.0936363639999982</c:v>
                </c:pt>
                <c:pt idx="38">
                  <c:v>6.1845454549999985</c:v>
                </c:pt>
                <c:pt idx="39">
                  <c:v>10.275454544999995</c:v>
                </c:pt>
                <c:pt idx="40">
                  <c:v>14.366363635999996</c:v>
                </c:pt>
                <c:pt idx="41">
                  <c:v>18.457272726999996</c:v>
                </c:pt>
                <c:pt idx="42">
                  <c:v>22.548181817999996</c:v>
                </c:pt>
                <c:pt idx="43">
                  <c:v>26.639090908999997</c:v>
                </c:pt>
                <c:pt idx="44">
                  <c:v>30.729999999999997</c:v>
                </c:pt>
              </c:numCache>
            </c:numRef>
          </c:xVal>
          <c:yVal>
            <c:numRef>
              <c:f>CTR!$G$7:$G$51</c:f>
              <c:numCache>
                <c:formatCode>0.0000000</c:formatCode>
                <c:ptCount val="45"/>
                <c:pt idx="0">
                  <c:v>1.0921370999999999E-2</c:v>
                </c:pt>
                <c:pt idx="1">
                  <c:v>8.1389770000000004E-3</c:v>
                </c:pt>
                <c:pt idx="2">
                  <c:v>6.9660240000000003E-3</c:v>
                </c:pt>
                <c:pt idx="3">
                  <c:v>5.7411440000000001E-3</c:v>
                </c:pt>
                <c:pt idx="4">
                  <c:v>4.9751400000000003E-3</c:v>
                </c:pt>
                <c:pt idx="5">
                  <c:v>4.466785E-3</c:v>
                </c:pt>
                <c:pt idx="6">
                  <c:v>4.0896830000000002E-3</c:v>
                </c:pt>
                <c:pt idx="7">
                  <c:v>3.846323E-3</c:v>
                </c:pt>
                <c:pt idx="8">
                  <c:v>3.6951050000000002E-3</c:v>
                </c:pt>
                <c:pt idx="9">
                  <c:v>3.5071730000000001E-3</c:v>
                </c:pt>
                <c:pt idx="10">
                  <c:v>3.3902569999999998E-3</c:v>
                </c:pt>
                <c:pt idx="11">
                  <c:v>3.4346440000000002E-3</c:v>
                </c:pt>
                <c:pt idx="12">
                  <c:v>3.3947769999999999E-3</c:v>
                </c:pt>
                <c:pt idx="13">
                  <c:v>3.3907870000000001E-3</c:v>
                </c:pt>
                <c:pt idx="14">
                  <c:v>3.4801110000000001E-3</c:v>
                </c:pt>
                <c:pt idx="15">
                  <c:v>3.4354170000000001E-3</c:v>
                </c:pt>
                <c:pt idx="16">
                  <c:v>3.4955239999999999E-3</c:v>
                </c:pt>
                <c:pt idx="17">
                  <c:v>3.6795489999999998E-3</c:v>
                </c:pt>
                <c:pt idx="18">
                  <c:v>3.8385329999999999E-3</c:v>
                </c:pt>
                <c:pt idx="19">
                  <c:v>3.8385950000000002E-3</c:v>
                </c:pt>
                <c:pt idx="20">
                  <c:v>4.0789880000000004E-3</c:v>
                </c:pt>
                <c:pt idx="21">
                  <c:v>4.3260900000000003E-3</c:v>
                </c:pt>
                <c:pt idx="22">
                  <c:v>4.8024900000000004E-3</c:v>
                </c:pt>
                <c:pt idx="23">
                  <c:v>5.3200360000000002E-3</c:v>
                </c:pt>
                <c:pt idx="24">
                  <c:v>5.7345870000000002E-3</c:v>
                </c:pt>
                <c:pt idx="25">
                  <c:v>5.9887200000000003E-3</c:v>
                </c:pt>
                <c:pt idx="26">
                  <c:v>6.2858089999999998E-3</c:v>
                </c:pt>
                <c:pt idx="27">
                  <c:v>7.2921649999999998E-3</c:v>
                </c:pt>
                <c:pt idx="28">
                  <c:v>8.6001540000000005E-3</c:v>
                </c:pt>
                <c:pt idx="29">
                  <c:v>1.03003E-2</c:v>
                </c:pt>
                <c:pt idx="30">
                  <c:v>1.2624122999999999E-2</c:v>
                </c:pt>
                <c:pt idx="31">
                  <c:v>1.9144543E-2</c:v>
                </c:pt>
                <c:pt idx="32">
                  <c:v>3.2287082000000002E-2</c:v>
                </c:pt>
                <c:pt idx="33">
                  <c:v>6.4786567000000003E-2</c:v>
                </c:pt>
                <c:pt idx="34">
                  <c:v>7.6843648000000001E-2</c:v>
                </c:pt>
                <c:pt idx="35">
                  <c:v>0.101981498</c:v>
                </c:pt>
                <c:pt idx="36">
                  <c:v>0.11193125800000001</c:v>
                </c:pt>
                <c:pt idx="37">
                  <c:v>9.5897205999999999E-2</c:v>
                </c:pt>
                <c:pt idx="38">
                  <c:v>0.106758318</c:v>
                </c:pt>
                <c:pt idx="39">
                  <c:v>8.2877848000000004E-2</c:v>
                </c:pt>
                <c:pt idx="40">
                  <c:v>4.5435296999999999E-2</c:v>
                </c:pt>
                <c:pt idx="41">
                  <c:v>3.9624340000000001E-2</c:v>
                </c:pt>
                <c:pt idx="42">
                  <c:v>2.8878088999999999E-2</c:v>
                </c:pt>
                <c:pt idx="43">
                  <c:v>1.5553549E-2</c:v>
                </c:pt>
                <c:pt idx="44">
                  <c:v>1.0921370999999999E-2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6-4278-A300-9BE5088CA842}"/>
            </c:ext>
          </c:extLst>
        </c:ser>
        <c:ser>
          <c:idx val="1"/>
          <c:order val="1"/>
          <c:tx>
            <c:v>repl2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CTR!$J$52:$J$96</c:f>
              <c:numCache>
                <c:formatCode>0</c:formatCode>
                <c:ptCount val="45"/>
                <c:pt idx="0">
                  <c:v>26.180000000000007</c:v>
                </c:pt>
                <c:pt idx="1">
                  <c:v>30.270909090999993</c:v>
                </c:pt>
                <c:pt idx="2">
                  <c:v>34.361818182000007</c:v>
                </c:pt>
                <c:pt idx="3">
                  <c:v>38.452727272999994</c:v>
                </c:pt>
                <c:pt idx="4">
                  <c:v>42.543636364000008</c:v>
                </c:pt>
                <c:pt idx="5">
                  <c:v>46.634545454999994</c:v>
                </c:pt>
                <c:pt idx="6">
                  <c:v>50.725454544999991</c:v>
                </c:pt>
                <c:pt idx="7">
                  <c:v>54.816363636000005</c:v>
                </c:pt>
                <c:pt idx="8">
                  <c:v>58.907272726999992</c:v>
                </c:pt>
                <c:pt idx="9">
                  <c:v>62.998181818000006</c:v>
                </c:pt>
                <c:pt idx="10">
                  <c:v>67.089090908999992</c:v>
                </c:pt>
                <c:pt idx="11">
                  <c:v>71.180000000000007</c:v>
                </c:pt>
                <c:pt idx="12">
                  <c:v>75.270909090999993</c:v>
                </c:pt>
                <c:pt idx="13">
                  <c:v>79.361818182000007</c:v>
                </c:pt>
                <c:pt idx="14">
                  <c:v>83.452727272999994</c:v>
                </c:pt>
                <c:pt idx="15">
                  <c:v>87.543636364000008</c:v>
                </c:pt>
                <c:pt idx="16">
                  <c:v>-88.365454545000006</c:v>
                </c:pt>
                <c:pt idx="17">
                  <c:v>-84.274545455000009</c:v>
                </c:pt>
                <c:pt idx="18">
                  <c:v>-80.183636363999995</c:v>
                </c:pt>
                <c:pt idx="19">
                  <c:v>-76.092727272999994</c:v>
                </c:pt>
                <c:pt idx="20">
                  <c:v>-72.001818181999994</c:v>
                </c:pt>
                <c:pt idx="21">
                  <c:v>-67.910909091000008</c:v>
                </c:pt>
                <c:pt idx="22">
                  <c:v>-63.82</c:v>
                </c:pt>
                <c:pt idx="23">
                  <c:v>-59.729090909</c:v>
                </c:pt>
                <c:pt idx="24">
                  <c:v>-55.638181818</c:v>
                </c:pt>
                <c:pt idx="25">
                  <c:v>-51.547272726999999</c:v>
                </c:pt>
                <c:pt idx="26">
                  <c:v>-47.456363635999999</c:v>
                </c:pt>
                <c:pt idx="27">
                  <c:v>-43.365454544999999</c:v>
                </c:pt>
                <c:pt idx="28">
                  <c:v>-39.274545455000002</c:v>
                </c:pt>
                <c:pt idx="29">
                  <c:v>-35.183636364000002</c:v>
                </c:pt>
                <c:pt idx="30">
                  <c:v>-31.092727273000001</c:v>
                </c:pt>
                <c:pt idx="31">
                  <c:v>-27.001818182000001</c:v>
                </c:pt>
                <c:pt idx="32">
                  <c:v>-22.910909091000001</c:v>
                </c:pt>
                <c:pt idx="33">
                  <c:v>-18.82</c:v>
                </c:pt>
                <c:pt idx="34">
                  <c:v>-14.729090909</c:v>
                </c:pt>
                <c:pt idx="35">
                  <c:v>-10.638181818</c:v>
                </c:pt>
                <c:pt idx="36">
                  <c:v>-6.5472727269999993</c:v>
                </c:pt>
                <c:pt idx="37">
                  <c:v>-2.456363635999999</c:v>
                </c:pt>
                <c:pt idx="38">
                  <c:v>1.6345454550000014</c:v>
                </c:pt>
                <c:pt idx="39">
                  <c:v>5.7254545449999981</c:v>
                </c:pt>
                <c:pt idx="40">
                  <c:v>9.8163636359999984</c:v>
                </c:pt>
                <c:pt idx="41">
                  <c:v>13.907272726999999</c:v>
                </c:pt>
                <c:pt idx="42">
                  <c:v>17.998181817999999</c:v>
                </c:pt>
                <c:pt idx="43">
                  <c:v>22.089090908999999</c:v>
                </c:pt>
                <c:pt idx="44">
                  <c:v>26.18</c:v>
                </c:pt>
              </c:numCache>
            </c:numRef>
          </c:xVal>
          <c:yVal>
            <c:numRef>
              <c:f>CTR!$G$52:$G$96</c:f>
              <c:numCache>
                <c:formatCode>0.0000000</c:formatCode>
                <c:ptCount val="45"/>
                <c:pt idx="0">
                  <c:v>1.7130197E-2</c:v>
                </c:pt>
                <c:pt idx="1">
                  <c:v>1.5026975999999999E-2</c:v>
                </c:pt>
                <c:pt idx="2">
                  <c:v>1.2437902000000001E-2</c:v>
                </c:pt>
                <c:pt idx="3">
                  <c:v>1.0783101E-2</c:v>
                </c:pt>
                <c:pt idx="4">
                  <c:v>9.5190029999999998E-3</c:v>
                </c:pt>
                <c:pt idx="5">
                  <c:v>8.8950509999999993E-3</c:v>
                </c:pt>
                <c:pt idx="6">
                  <c:v>8.3805330000000008E-3</c:v>
                </c:pt>
                <c:pt idx="7">
                  <c:v>8.1934E-3</c:v>
                </c:pt>
                <c:pt idx="8">
                  <c:v>7.6983149999999998E-3</c:v>
                </c:pt>
                <c:pt idx="9">
                  <c:v>7.3915200000000004E-3</c:v>
                </c:pt>
                <c:pt idx="10">
                  <c:v>6.8604649999999996E-3</c:v>
                </c:pt>
                <c:pt idx="11">
                  <c:v>6.723906E-3</c:v>
                </c:pt>
                <c:pt idx="12">
                  <c:v>6.3392930000000002E-3</c:v>
                </c:pt>
                <c:pt idx="13">
                  <c:v>6.3803250000000001E-3</c:v>
                </c:pt>
                <c:pt idx="14">
                  <c:v>6.2736279999999998E-3</c:v>
                </c:pt>
                <c:pt idx="15">
                  <c:v>6.3505339999999997E-3</c:v>
                </c:pt>
                <c:pt idx="16">
                  <c:v>6.631746E-3</c:v>
                </c:pt>
                <c:pt idx="17">
                  <c:v>6.6290699999999999E-3</c:v>
                </c:pt>
                <c:pt idx="18">
                  <c:v>6.536104E-3</c:v>
                </c:pt>
                <c:pt idx="19">
                  <c:v>6.6992889999999998E-3</c:v>
                </c:pt>
                <c:pt idx="20">
                  <c:v>7.3022479999999999E-3</c:v>
                </c:pt>
                <c:pt idx="21">
                  <c:v>7.645018E-3</c:v>
                </c:pt>
                <c:pt idx="22">
                  <c:v>8.2707270000000003E-3</c:v>
                </c:pt>
                <c:pt idx="23">
                  <c:v>8.2664109999999996E-3</c:v>
                </c:pt>
                <c:pt idx="24">
                  <c:v>7.8904119999999994E-3</c:v>
                </c:pt>
                <c:pt idx="25">
                  <c:v>8.0703170000000005E-3</c:v>
                </c:pt>
                <c:pt idx="26">
                  <c:v>8.7298989999999993E-3</c:v>
                </c:pt>
                <c:pt idx="27">
                  <c:v>1.0051266E-2</c:v>
                </c:pt>
                <c:pt idx="28">
                  <c:v>1.1348331E-2</c:v>
                </c:pt>
                <c:pt idx="29">
                  <c:v>1.3375000999999999E-2</c:v>
                </c:pt>
                <c:pt idx="30">
                  <c:v>1.5726866999999999E-2</c:v>
                </c:pt>
                <c:pt idx="31">
                  <c:v>1.6628252E-2</c:v>
                </c:pt>
                <c:pt idx="32">
                  <c:v>2.1497082000000001E-2</c:v>
                </c:pt>
                <c:pt idx="33">
                  <c:v>3.2823933999999999E-2</c:v>
                </c:pt>
                <c:pt idx="34">
                  <c:v>4.6325527999999998E-2</c:v>
                </c:pt>
                <c:pt idx="35">
                  <c:v>8.2574947999999995E-2</c:v>
                </c:pt>
                <c:pt idx="36">
                  <c:v>8.0653053000000002E-2</c:v>
                </c:pt>
                <c:pt idx="37">
                  <c:v>6.5005685999999993E-2</c:v>
                </c:pt>
                <c:pt idx="38">
                  <c:v>8.0175894999999997E-2</c:v>
                </c:pt>
                <c:pt idx="39">
                  <c:v>0.112591262</c:v>
                </c:pt>
                <c:pt idx="40">
                  <c:v>7.2928813999999995E-2</c:v>
                </c:pt>
                <c:pt idx="41">
                  <c:v>4.5516266999999999E-2</c:v>
                </c:pt>
                <c:pt idx="42">
                  <c:v>2.891065E-2</c:v>
                </c:pt>
                <c:pt idx="43">
                  <c:v>1.9681575E-2</c:v>
                </c:pt>
                <c:pt idx="44">
                  <c:v>1.7130197E-2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6-4278-A300-9BE5088CA842}"/>
            </c:ext>
          </c:extLst>
        </c:ser>
        <c:ser>
          <c:idx val="2"/>
          <c:order val="2"/>
          <c:tx>
            <c:v>repl3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CTR!$J$97:$J$141</c:f>
              <c:numCache>
                <c:formatCode>0</c:formatCode>
                <c:ptCount val="45"/>
                <c:pt idx="0">
                  <c:v>29.039999999999992</c:v>
                </c:pt>
                <c:pt idx="1">
                  <c:v>33.130909091000007</c:v>
                </c:pt>
                <c:pt idx="2">
                  <c:v>37.221818181999993</c:v>
                </c:pt>
                <c:pt idx="3">
                  <c:v>41.312727273000007</c:v>
                </c:pt>
                <c:pt idx="4">
                  <c:v>45.403636363999993</c:v>
                </c:pt>
                <c:pt idx="5">
                  <c:v>49.494545455000008</c:v>
                </c:pt>
                <c:pt idx="6">
                  <c:v>53.585454545000005</c:v>
                </c:pt>
                <c:pt idx="7">
                  <c:v>57.676363635999991</c:v>
                </c:pt>
                <c:pt idx="8">
                  <c:v>61.767272727000005</c:v>
                </c:pt>
                <c:pt idx="9">
                  <c:v>65.858181817999991</c:v>
                </c:pt>
                <c:pt idx="10">
                  <c:v>69.949090909000006</c:v>
                </c:pt>
                <c:pt idx="11">
                  <c:v>74.039999999999992</c:v>
                </c:pt>
                <c:pt idx="12">
                  <c:v>78.130909091000007</c:v>
                </c:pt>
                <c:pt idx="13">
                  <c:v>82.221818181999993</c:v>
                </c:pt>
                <c:pt idx="14">
                  <c:v>86.312727273000007</c:v>
                </c:pt>
                <c:pt idx="15">
                  <c:v>-89.596363636000007</c:v>
                </c:pt>
                <c:pt idx="16">
                  <c:v>-85.505454544999992</c:v>
                </c:pt>
                <c:pt idx="17">
                  <c:v>-81.414545454999995</c:v>
                </c:pt>
                <c:pt idx="18">
                  <c:v>-77.323636364000009</c:v>
                </c:pt>
                <c:pt idx="19">
                  <c:v>-73.232727272999995</c:v>
                </c:pt>
                <c:pt idx="20">
                  <c:v>-69.141818182000009</c:v>
                </c:pt>
                <c:pt idx="21">
                  <c:v>-65.050909090999994</c:v>
                </c:pt>
                <c:pt idx="22">
                  <c:v>-60.96</c:v>
                </c:pt>
                <c:pt idx="23">
                  <c:v>-56.869090909000001</c:v>
                </c:pt>
                <c:pt idx="24">
                  <c:v>-52.778181818</c:v>
                </c:pt>
                <c:pt idx="25">
                  <c:v>-48.687272727</c:v>
                </c:pt>
                <c:pt idx="26">
                  <c:v>-44.596363636</c:v>
                </c:pt>
                <c:pt idx="27">
                  <c:v>-40.505454544999999</c:v>
                </c:pt>
                <c:pt idx="28">
                  <c:v>-36.414545455000003</c:v>
                </c:pt>
                <c:pt idx="29">
                  <c:v>-32.323636364000002</c:v>
                </c:pt>
                <c:pt idx="30">
                  <c:v>-28.232727273000002</c:v>
                </c:pt>
                <c:pt idx="31">
                  <c:v>-24.141818182000002</c:v>
                </c:pt>
                <c:pt idx="32">
                  <c:v>-20.050909091000001</c:v>
                </c:pt>
                <c:pt idx="33">
                  <c:v>-15.96</c:v>
                </c:pt>
                <c:pt idx="34">
                  <c:v>-11.869090909000001</c:v>
                </c:pt>
                <c:pt idx="35">
                  <c:v>-7.7781818180000002</c:v>
                </c:pt>
                <c:pt idx="36">
                  <c:v>-3.6872727269999999</c:v>
                </c:pt>
                <c:pt idx="37">
                  <c:v>0.40363636400000047</c:v>
                </c:pt>
                <c:pt idx="38">
                  <c:v>4.4945454550000008</c:v>
                </c:pt>
                <c:pt idx="39">
                  <c:v>8.5854545449999975</c:v>
                </c:pt>
                <c:pt idx="40">
                  <c:v>12.676363635999998</c:v>
                </c:pt>
                <c:pt idx="41">
                  <c:v>16.767272726999998</c:v>
                </c:pt>
                <c:pt idx="42">
                  <c:v>20.858181817999998</c:v>
                </c:pt>
                <c:pt idx="43">
                  <c:v>24.949090908999999</c:v>
                </c:pt>
                <c:pt idx="44">
                  <c:v>29.04</c:v>
                </c:pt>
              </c:numCache>
            </c:numRef>
          </c:xVal>
          <c:yVal>
            <c:numRef>
              <c:f>CTR!$G$97:$G$141</c:f>
              <c:numCache>
                <c:formatCode>0.0000000</c:formatCode>
                <c:ptCount val="45"/>
                <c:pt idx="0">
                  <c:v>1.2276624999999999E-2</c:v>
                </c:pt>
                <c:pt idx="1">
                  <c:v>9.3732120000000006E-3</c:v>
                </c:pt>
                <c:pt idx="2">
                  <c:v>7.9871909999999994E-3</c:v>
                </c:pt>
                <c:pt idx="3">
                  <c:v>7.3750559999999996E-3</c:v>
                </c:pt>
                <c:pt idx="4">
                  <c:v>6.5227779999999999E-3</c:v>
                </c:pt>
                <c:pt idx="5">
                  <c:v>6.0969049999999997E-3</c:v>
                </c:pt>
                <c:pt idx="6">
                  <c:v>5.9392949999999998E-3</c:v>
                </c:pt>
                <c:pt idx="7">
                  <c:v>5.4896279999999999E-3</c:v>
                </c:pt>
                <c:pt idx="8">
                  <c:v>5.1648350000000004E-3</c:v>
                </c:pt>
                <c:pt idx="9">
                  <c:v>5.3631470000000004E-3</c:v>
                </c:pt>
                <c:pt idx="10">
                  <c:v>5.1754219999999998E-3</c:v>
                </c:pt>
                <c:pt idx="11">
                  <c:v>5.3144919999999997E-3</c:v>
                </c:pt>
                <c:pt idx="12">
                  <c:v>5.0347810000000003E-3</c:v>
                </c:pt>
                <c:pt idx="13">
                  <c:v>4.929966E-3</c:v>
                </c:pt>
                <c:pt idx="14">
                  <c:v>4.8248029999999999E-3</c:v>
                </c:pt>
                <c:pt idx="15">
                  <c:v>5.0256010000000002E-3</c:v>
                </c:pt>
                <c:pt idx="16">
                  <c:v>5.3064519999999997E-3</c:v>
                </c:pt>
                <c:pt idx="17">
                  <c:v>5.2426219999999997E-3</c:v>
                </c:pt>
                <c:pt idx="18">
                  <c:v>5.2630810000000002E-3</c:v>
                </c:pt>
                <c:pt idx="19">
                  <c:v>5.3502360000000004E-3</c:v>
                </c:pt>
                <c:pt idx="20">
                  <c:v>5.6904959999999997E-3</c:v>
                </c:pt>
                <c:pt idx="21">
                  <c:v>6.0138809999999996E-3</c:v>
                </c:pt>
                <c:pt idx="22">
                  <c:v>5.9834989999999998E-3</c:v>
                </c:pt>
                <c:pt idx="23">
                  <c:v>6.2180389999999999E-3</c:v>
                </c:pt>
                <c:pt idx="24">
                  <c:v>6.4121680000000002E-3</c:v>
                </c:pt>
                <c:pt idx="25">
                  <c:v>6.490081E-3</c:v>
                </c:pt>
                <c:pt idx="26">
                  <c:v>6.9820539999999997E-3</c:v>
                </c:pt>
                <c:pt idx="27">
                  <c:v>8.3901210000000004E-3</c:v>
                </c:pt>
                <c:pt idx="28">
                  <c:v>9.3191390000000006E-3</c:v>
                </c:pt>
                <c:pt idx="29">
                  <c:v>1.1611023E-2</c:v>
                </c:pt>
                <c:pt idx="30">
                  <c:v>1.4512982000000001E-2</c:v>
                </c:pt>
                <c:pt idx="31">
                  <c:v>1.9581983000000001E-2</c:v>
                </c:pt>
                <c:pt idx="32">
                  <c:v>2.5497596000000001E-2</c:v>
                </c:pt>
                <c:pt idx="33">
                  <c:v>3.9572431999999998E-2</c:v>
                </c:pt>
                <c:pt idx="34">
                  <c:v>7.6357481000000005E-2</c:v>
                </c:pt>
                <c:pt idx="35">
                  <c:v>0.11082049200000001</c:v>
                </c:pt>
                <c:pt idx="36">
                  <c:v>9.8653658000000005E-2</c:v>
                </c:pt>
                <c:pt idx="37">
                  <c:v>6.8612113000000002E-2</c:v>
                </c:pt>
                <c:pt idx="38">
                  <c:v>6.1825368999999998E-2</c:v>
                </c:pt>
                <c:pt idx="39">
                  <c:v>0.12029479899999999</c:v>
                </c:pt>
                <c:pt idx="40">
                  <c:v>8.1519386999999999E-2</c:v>
                </c:pt>
                <c:pt idx="41">
                  <c:v>3.7977878999999999E-2</c:v>
                </c:pt>
                <c:pt idx="42">
                  <c:v>2.1826867999999999E-2</c:v>
                </c:pt>
                <c:pt idx="43">
                  <c:v>1.4503706E-2</c:v>
                </c:pt>
                <c:pt idx="44">
                  <c:v>1.2276624999999999E-2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16-4278-A300-9BE5088CA842}"/>
            </c:ext>
          </c:extLst>
        </c:ser>
        <c:ser>
          <c:idx val="3"/>
          <c:order val="3"/>
          <c:tx>
            <c:v>repl4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CTR!$J$142:$J$186</c:f>
              <c:numCache>
                <c:formatCode>0</c:formatCode>
                <c:ptCount val="45"/>
                <c:pt idx="0">
                  <c:v>32.039999999999992</c:v>
                </c:pt>
                <c:pt idx="1">
                  <c:v>36.130909091000007</c:v>
                </c:pt>
                <c:pt idx="2">
                  <c:v>40.221818181999993</c:v>
                </c:pt>
                <c:pt idx="3">
                  <c:v>44.312727273000007</c:v>
                </c:pt>
                <c:pt idx="4">
                  <c:v>48.403636363999993</c:v>
                </c:pt>
                <c:pt idx="5">
                  <c:v>52.494545455000008</c:v>
                </c:pt>
                <c:pt idx="6">
                  <c:v>56.585454545000005</c:v>
                </c:pt>
                <c:pt idx="7">
                  <c:v>60.676363635999991</c:v>
                </c:pt>
                <c:pt idx="8">
                  <c:v>64.767272727000005</c:v>
                </c:pt>
                <c:pt idx="9">
                  <c:v>68.858181817999991</c:v>
                </c:pt>
                <c:pt idx="10">
                  <c:v>72.949090909000006</c:v>
                </c:pt>
                <c:pt idx="11">
                  <c:v>77.039999999999992</c:v>
                </c:pt>
                <c:pt idx="12">
                  <c:v>81.130909091000007</c:v>
                </c:pt>
                <c:pt idx="13">
                  <c:v>85.221818181999993</c:v>
                </c:pt>
                <c:pt idx="14">
                  <c:v>89.312727273000007</c:v>
                </c:pt>
                <c:pt idx="15">
                  <c:v>-86.596363636000007</c:v>
                </c:pt>
                <c:pt idx="16">
                  <c:v>-82.505454544999992</c:v>
                </c:pt>
                <c:pt idx="17">
                  <c:v>-78.414545454999995</c:v>
                </c:pt>
                <c:pt idx="18">
                  <c:v>-74.323636364000009</c:v>
                </c:pt>
                <c:pt idx="19">
                  <c:v>-70.232727272999995</c:v>
                </c:pt>
                <c:pt idx="20">
                  <c:v>-66.141818182000009</c:v>
                </c:pt>
                <c:pt idx="21">
                  <c:v>-62.050909091000001</c:v>
                </c:pt>
                <c:pt idx="22">
                  <c:v>-57.96</c:v>
                </c:pt>
                <c:pt idx="23">
                  <c:v>-53.869090909000001</c:v>
                </c:pt>
                <c:pt idx="24">
                  <c:v>-49.778181818</c:v>
                </c:pt>
                <c:pt idx="25">
                  <c:v>-45.687272727</c:v>
                </c:pt>
                <c:pt idx="26">
                  <c:v>-41.596363636</c:v>
                </c:pt>
                <c:pt idx="27">
                  <c:v>-37.505454544999999</c:v>
                </c:pt>
                <c:pt idx="28">
                  <c:v>-33.414545455000003</c:v>
                </c:pt>
                <c:pt idx="29">
                  <c:v>-29.323636364000002</c:v>
                </c:pt>
                <c:pt idx="30">
                  <c:v>-25.232727273000002</c:v>
                </c:pt>
                <c:pt idx="31">
                  <c:v>-21.141818182000002</c:v>
                </c:pt>
                <c:pt idx="32">
                  <c:v>-17.050909091000001</c:v>
                </c:pt>
                <c:pt idx="33">
                  <c:v>-12.96</c:v>
                </c:pt>
                <c:pt idx="34">
                  <c:v>-8.8690909090000005</c:v>
                </c:pt>
                <c:pt idx="35">
                  <c:v>-4.7781818180000002</c:v>
                </c:pt>
                <c:pt idx="36">
                  <c:v>-0.68727272699999986</c:v>
                </c:pt>
                <c:pt idx="37">
                  <c:v>3.4036363640000005</c:v>
                </c:pt>
                <c:pt idx="38">
                  <c:v>7.4945454550000008</c:v>
                </c:pt>
                <c:pt idx="39">
                  <c:v>11.585454544999997</c:v>
                </c:pt>
                <c:pt idx="40">
                  <c:v>15.676363635999998</c:v>
                </c:pt>
                <c:pt idx="41">
                  <c:v>19.767272726999998</c:v>
                </c:pt>
                <c:pt idx="42">
                  <c:v>23.858181817999998</c:v>
                </c:pt>
                <c:pt idx="43">
                  <c:v>27.949090908999999</c:v>
                </c:pt>
                <c:pt idx="44">
                  <c:v>32.04</c:v>
                </c:pt>
              </c:numCache>
            </c:numRef>
          </c:xVal>
          <c:yVal>
            <c:numRef>
              <c:f>CTR!$G$142:$G$186</c:f>
              <c:numCache>
                <c:formatCode>0.0000000</c:formatCode>
                <c:ptCount val="45"/>
                <c:pt idx="0">
                  <c:v>1.3740356E-2</c:v>
                </c:pt>
                <c:pt idx="1">
                  <c:v>8.9701859999999998E-3</c:v>
                </c:pt>
                <c:pt idx="2">
                  <c:v>7.8477870000000002E-3</c:v>
                </c:pt>
                <c:pt idx="3">
                  <c:v>6.8642419999999996E-3</c:v>
                </c:pt>
                <c:pt idx="4">
                  <c:v>5.9440109999999999E-3</c:v>
                </c:pt>
                <c:pt idx="5">
                  <c:v>5.960333E-3</c:v>
                </c:pt>
                <c:pt idx="6">
                  <c:v>5.6498920000000001E-3</c:v>
                </c:pt>
                <c:pt idx="7">
                  <c:v>5.1845720000000001E-3</c:v>
                </c:pt>
                <c:pt idx="8">
                  <c:v>5.234753E-3</c:v>
                </c:pt>
                <c:pt idx="9">
                  <c:v>5.0918229999999997E-3</c:v>
                </c:pt>
                <c:pt idx="10">
                  <c:v>4.879736E-3</c:v>
                </c:pt>
                <c:pt idx="11">
                  <c:v>5.5087010000000004E-3</c:v>
                </c:pt>
                <c:pt idx="12">
                  <c:v>4.7944789999999999E-3</c:v>
                </c:pt>
                <c:pt idx="13">
                  <c:v>5.0261220000000001E-3</c:v>
                </c:pt>
                <c:pt idx="14">
                  <c:v>4.5936670000000001E-3</c:v>
                </c:pt>
                <c:pt idx="15">
                  <c:v>4.4990289999999999E-3</c:v>
                </c:pt>
                <c:pt idx="16">
                  <c:v>4.5053990000000002E-3</c:v>
                </c:pt>
                <c:pt idx="17">
                  <c:v>4.7142190000000004E-3</c:v>
                </c:pt>
                <c:pt idx="18">
                  <c:v>4.7151129999999999E-3</c:v>
                </c:pt>
                <c:pt idx="19">
                  <c:v>4.9255640000000003E-3</c:v>
                </c:pt>
                <c:pt idx="20">
                  <c:v>5.1376199999999999E-3</c:v>
                </c:pt>
                <c:pt idx="21">
                  <c:v>5.5240139999999998E-3</c:v>
                </c:pt>
                <c:pt idx="22">
                  <c:v>5.973417E-3</c:v>
                </c:pt>
                <c:pt idx="23">
                  <c:v>5.8501270000000001E-3</c:v>
                </c:pt>
                <c:pt idx="24">
                  <c:v>5.7506600000000003E-3</c:v>
                </c:pt>
                <c:pt idx="25">
                  <c:v>5.69054E-3</c:v>
                </c:pt>
                <c:pt idx="26">
                  <c:v>5.9892160000000003E-3</c:v>
                </c:pt>
                <c:pt idx="27">
                  <c:v>7.0842040000000002E-3</c:v>
                </c:pt>
                <c:pt idx="28">
                  <c:v>7.2475719999999999E-3</c:v>
                </c:pt>
                <c:pt idx="29">
                  <c:v>9.2099940000000009E-3</c:v>
                </c:pt>
                <c:pt idx="30">
                  <c:v>1.1706225000000001E-2</c:v>
                </c:pt>
                <c:pt idx="31">
                  <c:v>1.7354748999999999E-2</c:v>
                </c:pt>
                <c:pt idx="32">
                  <c:v>2.0845523000000001E-2</c:v>
                </c:pt>
                <c:pt idx="33">
                  <c:v>4.1771524999999997E-2</c:v>
                </c:pt>
                <c:pt idx="34">
                  <c:v>8.3517283999999997E-2</c:v>
                </c:pt>
                <c:pt idx="35">
                  <c:v>0.15621211199999999</c:v>
                </c:pt>
                <c:pt idx="36">
                  <c:v>0.12555512699999999</c:v>
                </c:pt>
                <c:pt idx="37">
                  <c:v>6.3397727000000001E-2</c:v>
                </c:pt>
                <c:pt idx="38">
                  <c:v>5.4007714999999998E-2</c:v>
                </c:pt>
                <c:pt idx="39">
                  <c:v>8.1699952000000006E-2</c:v>
                </c:pt>
                <c:pt idx="40">
                  <c:v>8.5295353000000004E-2</c:v>
                </c:pt>
                <c:pt idx="41">
                  <c:v>3.0022159999999999E-2</c:v>
                </c:pt>
                <c:pt idx="42">
                  <c:v>1.9318971000000001E-2</c:v>
                </c:pt>
                <c:pt idx="43">
                  <c:v>1.3447877E-2</c:v>
                </c:pt>
                <c:pt idx="44">
                  <c:v>1.3740356E-2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16-4278-A300-9BE5088CA842}"/>
            </c:ext>
          </c:extLst>
        </c:ser>
        <c:ser>
          <c:idx val="4"/>
          <c:order val="4"/>
          <c:tx>
            <c:v>repl5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CTR!$J$187:$J$276</c:f>
              <c:numCache>
                <c:formatCode>0</c:formatCode>
                <c:ptCount val="90"/>
                <c:pt idx="0">
                  <c:v>33.889999999999986</c:v>
                </c:pt>
                <c:pt idx="1">
                  <c:v>37.980909091000001</c:v>
                </c:pt>
                <c:pt idx="2">
                  <c:v>42.071818182000015</c:v>
                </c:pt>
                <c:pt idx="3">
                  <c:v>46.162727273000002</c:v>
                </c:pt>
                <c:pt idx="4">
                  <c:v>50.253636363999988</c:v>
                </c:pt>
                <c:pt idx="5">
                  <c:v>54.344545455000002</c:v>
                </c:pt>
                <c:pt idx="6">
                  <c:v>58.435454544999999</c:v>
                </c:pt>
                <c:pt idx="7">
                  <c:v>62.526363635999999</c:v>
                </c:pt>
                <c:pt idx="8">
                  <c:v>66.617272727</c:v>
                </c:pt>
                <c:pt idx="9">
                  <c:v>70.708181818</c:v>
                </c:pt>
                <c:pt idx="10">
                  <c:v>74.799090909</c:v>
                </c:pt>
                <c:pt idx="11">
                  <c:v>78.89</c:v>
                </c:pt>
                <c:pt idx="12">
                  <c:v>82.980909091000001</c:v>
                </c:pt>
                <c:pt idx="13">
                  <c:v>87.071818182000001</c:v>
                </c:pt>
                <c:pt idx="14">
                  <c:v>-88.837272726999998</c:v>
                </c:pt>
                <c:pt idx="15">
                  <c:v>-84.746363635999998</c:v>
                </c:pt>
                <c:pt idx="16">
                  <c:v>-80.655454544999998</c:v>
                </c:pt>
                <c:pt idx="17">
                  <c:v>-76.564545455000001</c:v>
                </c:pt>
                <c:pt idx="18">
                  <c:v>-72.473636364000001</c:v>
                </c:pt>
                <c:pt idx="19">
                  <c:v>-68.382727273</c:v>
                </c:pt>
                <c:pt idx="20">
                  <c:v>-64.291818182</c:v>
                </c:pt>
                <c:pt idx="21">
                  <c:v>-60.200909091</c:v>
                </c:pt>
                <c:pt idx="22">
                  <c:v>-56.11</c:v>
                </c:pt>
                <c:pt idx="23">
                  <c:v>-52.019090908999999</c:v>
                </c:pt>
                <c:pt idx="24">
                  <c:v>-47.928181817999999</c:v>
                </c:pt>
                <c:pt idx="25">
                  <c:v>-43.837272726999998</c:v>
                </c:pt>
                <c:pt idx="26">
                  <c:v>-39.746363635999998</c:v>
                </c:pt>
                <c:pt idx="27">
                  <c:v>-35.655454544999998</c:v>
                </c:pt>
                <c:pt idx="28">
                  <c:v>-31.564545455000001</c:v>
                </c:pt>
                <c:pt idx="29">
                  <c:v>-27.473636364000001</c:v>
                </c:pt>
                <c:pt idx="30">
                  <c:v>-23.382727273</c:v>
                </c:pt>
                <c:pt idx="31">
                  <c:v>-19.291818182</c:v>
                </c:pt>
                <c:pt idx="32">
                  <c:v>-15.200909091</c:v>
                </c:pt>
                <c:pt idx="33">
                  <c:v>-11.11</c:v>
                </c:pt>
                <c:pt idx="34">
                  <c:v>-7.0190909089999991</c:v>
                </c:pt>
                <c:pt idx="35">
                  <c:v>-2.9281818179999988</c:v>
                </c:pt>
                <c:pt idx="36">
                  <c:v>1.1627272730000016</c:v>
                </c:pt>
                <c:pt idx="37">
                  <c:v>5.2536363640000019</c:v>
                </c:pt>
                <c:pt idx="38">
                  <c:v>9.3445454550000022</c:v>
                </c:pt>
                <c:pt idx="39">
                  <c:v>13.435454544999999</c:v>
                </c:pt>
                <c:pt idx="40">
                  <c:v>17.526363635999999</c:v>
                </c:pt>
                <c:pt idx="41">
                  <c:v>21.617272727</c:v>
                </c:pt>
                <c:pt idx="42">
                  <c:v>25.708181818</c:v>
                </c:pt>
                <c:pt idx="43">
                  <c:v>29.799090909</c:v>
                </c:pt>
                <c:pt idx="44">
                  <c:v>33.89</c:v>
                </c:pt>
                <c:pt idx="45">
                  <c:v>33.889999999999986</c:v>
                </c:pt>
                <c:pt idx="46">
                  <c:v>37.980909091000001</c:v>
                </c:pt>
                <c:pt idx="47">
                  <c:v>42.071818182000015</c:v>
                </c:pt>
                <c:pt idx="48">
                  <c:v>46.162727273000002</c:v>
                </c:pt>
                <c:pt idx="49">
                  <c:v>50.253636363999988</c:v>
                </c:pt>
                <c:pt idx="50">
                  <c:v>54.344545455000002</c:v>
                </c:pt>
                <c:pt idx="51">
                  <c:v>58.435454544999999</c:v>
                </c:pt>
                <c:pt idx="52">
                  <c:v>62.526363635999999</c:v>
                </c:pt>
                <c:pt idx="53">
                  <c:v>66.617272727</c:v>
                </c:pt>
                <c:pt idx="54">
                  <c:v>70.708181818</c:v>
                </c:pt>
                <c:pt idx="55">
                  <c:v>74.799090909</c:v>
                </c:pt>
                <c:pt idx="56">
                  <c:v>78.89</c:v>
                </c:pt>
                <c:pt idx="57">
                  <c:v>82.980909091000001</c:v>
                </c:pt>
                <c:pt idx="58">
                  <c:v>87.071818182000001</c:v>
                </c:pt>
                <c:pt idx="59">
                  <c:v>-88.837272726999998</c:v>
                </c:pt>
                <c:pt idx="60">
                  <c:v>-84.746363635999998</c:v>
                </c:pt>
                <c:pt idx="61">
                  <c:v>-80.655454544999998</c:v>
                </c:pt>
                <c:pt idx="62">
                  <c:v>-76.564545455000001</c:v>
                </c:pt>
                <c:pt idx="63">
                  <c:v>-72.473636364000001</c:v>
                </c:pt>
                <c:pt idx="64">
                  <c:v>-68.382727273</c:v>
                </c:pt>
                <c:pt idx="65">
                  <c:v>-64.291818182</c:v>
                </c:pt>
                <c:pt idx="66">
                  <c:v>-60.200909091</c:v>
                </c:pt>
                <c:pt idx="67">
                  <c:v>-56.11</c:v>
                </c:pt>
                <c:pt idx="68">
                  <c:v>-52.019090908999999</c:v>
                </c:pt>
                <c:pt idx="69">
                  <c:v>-47.928181817999999</c:v>
                </c:pt>
                <c:pt idx="70">
                  <c:v>-43.837272726999998</c:v>
                </c:pt>
                <c:pt idx="71">
                  <c:v>-39.746363635999998</c:v>
                </c:pt>
                <c:pt idx="72">
                  <c:v>-35.655454544999998</c:v>
                </c:pt>
                <c:pt idx="73">
                  <c:v>-31.564545455000001</c:v>
                </c:pt>
                <c:pt idx="74">
                  <c:v>-27.473636364000001</c:v>
                </c:pt>
                <c:pt idx="75">
                  <c:v>-23.382727273</c:v>
                </c:pt>
                <c:pt idx="76">
                  <c:v>-19.291818182</c:v>
                </c:pt>
                <c:pt idx="77">
                  <c:v>-15.200909091</c:v>
                </c:pt>
                <c:pt idx="78">
                  <c:v>-11.11</c:v>
                </c:pt>
                <c:pt idx="79">
                  <c:v>-7.0190909089999991</c:v>
                </c:pt>
                <c:pt idx="80">
                  <c:v>-2.9281818179999988</c:v>
                </c:pt>
                <c:pt idx="81">
                  <c:v>1.1627272730000016</c:v>
                </c:pt>
                <c:pt idx="82">
                  <c:v>5.2536363640000019</c:v>
                </c:pt>
                <c:pt idx="83">
                  <c:v>9.3445454550000022</c:v>
                </c:pt>
                <c:pt idx="84">
                  <c:v>13.435454544999999</c:v>
                </c:pt>
                <c:pt idx="85">
                  <c:v>17.526363635999999</c:v>
                </c:pt>
                <c:pt idx="86">
                  <c:v>21.617272727</c:v>
                </c:pt>
                <c:pt idx="87">
                  <c:v>25.708181818</c:v>
                </c:pt>
                <c:pt idx="88">
                  <c:v>29.799090909</c:v>
                </c:pt>
                <c:pt idx="89">
                  <c:v>33.89</c:v>
                </c:pt>
              </c:numCache>
            </c:numRef>
          </c:xVal>
          <c:yVal>
            <c:numRef>
              <c:f>CTR!$G$187:$G$276</c:f>
              <c:numCache>
                <c:formatCode>0.0000000</c:formatCode>
                <c:ptCount val="90"/>
                <c:pt idx="0">
                  <c:v>1.1009075E-2</c:v>
                </c:pt>
                <c:pt idx="1">
                  <c:v>8.6234620000000001E-3</c:v>
                </c:pt>
                <c:pt idx="2">
                  <c:v>7.3105779999999999E-3</c:v>
                </c:pt>
                <c:pt idx="3">
                  <c:v>6.9103039999999999E-3</c:v>
                </c:pt>
                <c:pt idx="4">
                  <c:v>6.1263480000000002E-3</c:v>
                </c:pt>
                <c:pt idx="5">
                  <c:v>5.5736919999999999E-3</c:v>
                </c:pt>
                <c:pt idx="6">
                  <c:v>5.5071620000000003E-3</c:v>
                </c:pt>
                <c:pt idx="7">
                  <c:v>5.224561E-3</c:v>
                </c:pt>
                <c:pt idx="8">
                  <c:v>5.1716380000000001E-3</c:v>
                </c:pt>
                <c:pt idx="9">
                  <c:v>4.9762840000000001E-3</c:v>
                </c:pt>
                <c:pt idx="10">
                  <c:v>4.7789080000000001E-3</c:v>
                </c:pt>
                <c:pt idx="11">
                  <c:v>4.7886589999999998E-3</c:v>
                </c:pt>
                <c:pt idx="12">
                  <c:v>4.5918799999999996E-3</c:v>
                </c:pt>
                <c:pt idx="13">
                  <c:v>4.5947430000000001E-3</c:v>
                </c:pt>
                <c:pt idx="14">
                  <c:v>4.4386770000000002E-3</c:v>
                </c:pt>
                <c:pt idx="15">
                  <c:v>4.6631470000000003E-3</c:v>
                </c:pt>
                <c:pt idx="16">
                  <c:v>4.6935950000000001E-3</c:v>
                </c:pt>
                <c:pt idx="17">
                  <c:v>5.075174E-3</c:v>
                </c:pt>
                <c:pt idx="18">
                  <c:v>4.9332250000000003E-3</c:v>
                </c:pt>
                <c:pt idx="19">
                  <c:v>5.1361449999999999E-3</c:v>
                </c:pt>
                <c:pt idx="20">
                  <c:v>5.0849069999999996E-3</c:v>
                </c:pt>
                <c:pt idx="21">
                  <c:v>5.2266200000000004E-3</c:v>
                </c:pt>
                <c:pt idx="22">
                  <c:v>5.8896469999999996E-3</c:v>
                </c:pt>
                <c:pt idx="23">
                  <c:v>5.992537E-3</c:v>
                </c:pt>
                <c:pt idx="24">
                  <c:v>6.134703E-3</c:v>
                </c:pt>
                <c:pt idx="25">
                  <c:v>6.6362790000000001E-3</c:v>
                </c:pt>
                <c:pt idx="26">
                  <c:v>6.9885069999999997E-3</c:v>
                </c:pt>
                <c:pt idx="27">
                  <c:v>8.6871580000000004E-3</c:v>
                </c:pt>
                <c:pt idx="28">
                  <c:v>9.167962E-3</c:v>
                </c:pt>
                <c:pt idx="29">
                  <c:v>1.0693314000000001E-2</c:v>
                </c:pt>
                <c:pt idx="30">
                  <c:v>1.4860979E-2</c:v>
                </c:pt>
                <c:pt idx="31">
                  <c:v>2.4575310999999999E-2</c:v>
                </c:pt>
                <c:pt idx="32">
                  <c:v>3.5055773999999998E-2</c:v>
                </c:pt>
                <c:pt idx="33">
                  <c:v>5.9493794000000003E-2</c:v>
                </c:pt>
                <c:pt idx="34">
                  <c:v>9.5633953999999993E-2</c:v>
                </c:pt>
                <c:pt idx="35">
                  <c:v>0.134743378</c:v>
                </c:pt>
                <c:pt idx="36">
                  <c:v>0.11649393299999999</c:v>
                </c:pt>
                <c:pt idx="37">
                  <c:v>8.8079038999999998E-2</c:v>
                </c:pt>
                <c:pt idx="38">
                  <c:v>5.8978474000000003E-2</c:v>
                </c:pt>
                <c:pt idx="39">
                  <c:v>5.7143590000000001E-2</c:v>
                </c:pt>
                <c:pt idx="40">
                  <c:v>5.5313473000000002E-2</c:v>
                </c:pt>
                <c:pt idx="41">
                  <c:v>3.1874876000000003E-2</c:v>
                </c:pt>
                <c:pt idx="42">
                  <c:v>1.9710333E-2</c:v>
                </c:pt>
                <c:pt idx="43">
                  <c:v>1.2405126000000001E-2</c:v>
                </c:pt>
                <c:pt idx="44">
                  <c:v>1.1009075E-2</c:v>
                </c:pt>
                <c:pt idx="45">
                  <c:v>1.5767026999999999E-2</c:v>
                </c:pt>
                <c:pt idx="46">
                  <c:v>1.1967787000000001E-2</c:v>
                </c:pt>
                <c:pt idx="47">
                  <c:v>1.2658971999999999E-2</c:v>
                </c:pt>
                <c:pt idx="48">
                  <c:v>1.1136495999999999E-2</c:v>
                </c:pt>
                <c:pt idx="49">
                  <c:v>1.0153489E-2</c:v>
                </c:pt>
                <c:pt idx="50">
                  <c:v>9.9641959999999998E-3</c:v>
                </c:pt>
                <c:pt idx="51">
                  <c:v>9.6607150000000003E-3</c:v>
                </c:pt>
                <c:pt idx="52">
                  <c:v>9.0178919999999996E-3</c:v>
                </c:pt>
                <c:pt idx="53">
                  <c:v>8.3940899999999999E-3</c:v>
                </c:pt>
                <c:pt idx="54">
                  <c:v>8.7910000000000002E-3</c:v>
                </c:pt>
                <c:pt idx="55">
                  <c:v>8.0051180000000003E-3</c:v>
                </c:pt>
                <c:pt idx="56">
                  <c:v>8.0509680000000004E-3</c:v>
                </c:pt>
                <c:pt idx="57">
                  <c:v>7.6829639999999996E-3</c:v>
                </c:pt>
                <c:pt idx="58">
                  <c:v>8.0746069999999993E-3</c:v>
                </c:pt>
                <c:pt idx="59">
                  <c:v>7.7627E-3</c:v>
                </c:pt>
                <c:pt idx="60">
                  <c:v>7.8782260000000003E-3</c:v>
                </c:pt>
                <c:pt idx="61">
                  <c:v>8.1777470000000008E-3</c:v>
                </c:pt>
                <c:pt idx="62">
                  <c:v>8.2633570000000007E-3</c:v>
                </c:pt>
                <c:pt idx="63">
                  <c:v>8.5658420000000006E-3</c:v>
                </c:pt>
                <c:pt idx="64">
                  <c:v>8.6080010000000005E-3</c:v>
                </c:pt>
                <c:pt idx="65">
                  <c:v>9.2109889999999993E-3</c:v>
                </c:pt>
                <c:pt idx="66">
                  <c:v>8.6667180000000003E-3</c:v>
                </c:pt>
                <c:pt idx="67">
                  <c:v>9.6156260000000004E-3</c:v>
                </c:pt>
                <c:pt idx="68">
                  <c:v>9.5819500000000005E-3</c:v>
                </c:pt>
                <c:pt idx="69">
                  <c:v>1.200129E-2</c:v>
                </c:pt>
                <c:pt idx="70">
                  <c:v>1.3601237E-2</c:v>
                </c:pt>
                <c:pt idx="71">
                  <c:v>1.6762404000000002E-2</c:v>
                </c:pt>
                <c:pt idx="72">
                  <c:v>1.9166326000000001E-2</c:v>
                </c:pt>
                <c:pt idx="73">
                  <c:v>2.1770607000000001E-2</c:v>
                </c:pt>
                <c:pt idx="74">
                  <c:v>2.48214E-2</c:v>
                </c:pt>
                <c:pt idx="75">
                  <c:v>3.1991565E-2</c:v>
                </c:pt>
                <c:pt idx="76">
                  <c:v>3.7092734000000002E-2</c:v>
                </c:pt>
                <c:pt idx="77">
                  <c:v>2.8252757999999999E-2</c:v>
                </c:pt>
                <c:pt idx="78">
                  <c:v>3.4505887999999998E-2</c:v>
                </c:pt>
                <c:pt idx="79">
                  <c:v>4.4523545999999997E-2</c:v>
                </c:pt>
                <c:pt idx="80">
                  <c:v>7.9959010999999997E-2</c:v>
                </c:pt>
                <c:pt idx="81">
                  <c:v>8.0382199000000001E-2</c:v>
                </c:pt>
                <c:pt idx="82">
                  <c:v>7.1628504999999995E-2</c:v>
                </c:pt>
                <c:pt idx="83">
                  <c:v>5.4505443000000001E-2</c:v>
                </c:pt>
                <c:pt idx="84">
                  <c:v>5.2883347999999997E-2</c:v>
                </c:pt>
                <c:pt idx="85">
                  <c:v>5.6185143999999999E-2</c:v>
                </c:pt>
                <c:pt idx="86">
                  <c:v>3.9756775000000001E-2</c:v>
                </c:pt>
                <c:pt idx="87">
                  <c:v>2.3180248000000001E-2</c:v>
                </c:pt>
                <c:pt idx="88">
                  <c:v>1.560607E-2</c:v>
                </c:pt>
                <c:pt idx="89">
                  <c:v>1.5767026999999999E-2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16-4278-A300-9BE5088CA842}"/>
            </c:ext>
          </c:extLst>
        </c:ser>
        <c:ser>
          <c:idx val="5"/>
          <c:order val="5"/>
          <c:tx>
            <c:v>repl6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CTR!$J$277:$J$366</c:f>
              <c:numCache>
                <c:formatCode>0</c:formatCode>
                <c:ptCount val="90"/>
                <c:pt idx="0">
                  <c:v>26.050000000000011</c:v>
                </c:pt>
                <c:pt idx="1">
                  <c:v>30.140909090999997</c:v>
                </c:pt>
                <c:pt idx="2">
                  <c:v>34.231818181999984</c:v>
                </c:pt>
                <c:pt idx="3">
                  <c:v>38.322727272999998</c:v>
                </c:pt>
                <c:pt idx="4">
                  <c:v>42.413636364000013</c:v>
                </c:pt>
                <c:pt idx="5">
                  <c:v>46.504545454999999</c:v>
                </c:pt>
                <c:pt idx="6">
                  <c:v>50.595454544999996</c:v>
                </c:pt>
                <c:pt idx="7">
                  <c:v>54.686363635999996</c:v>
                </c:pt>
                <c:pt idx="8">
                  <c:v>58.777272726999996</c:v>
                </c:pt>
                <c:pt idx="9">
                  <c:v>62.868181817999996</c:v>
                </c:pt>
                <c:pt idx="10">
                  <c:v>66.959090908999997</c:v>
                </c:pt>
                <c:pt idx="11">
                  <c:v>71.05</c:v>
                </c:pt>
                <c:pt idx="12">
                  <c:v>75.140909090999997</c:v>
                </c:pt>
                <c:pt idx="13">
                  <c:v>79.231818181999998</c:v>
                </c:pt>
                <c:pt idx="14">
                  <c:v>83.322727272999998</c:v>
                </c:pt>
                <c:pt idx="15">
                  <c:v>87.413636363999998</c:v>
                </c:pt>
                <c:pt idx="16">
                  <c:v>-88.495454545000001</c:v>
                </c:pt>
                <c:pt idx="17">
                  <c:v>-84.404545455000004</c:v>
                </c:pt>
                <c:pt idx="18">
                  <c:v>-80.313636364000004</c:v>
                </c:pt>
                <c:pt idx="19">
                  <c:v>-76.222727273000004</c:v>
                </c:pt>
                <c:pt idx="20">
                  <c:v>-72.131818182000004</c:v>
                </c:pt>
                <c:pt idx="21">
                  <c:v>-68.040909091000003</c:v>
                </c:pt>
                <c:pt idx="22">
                  <c:v>-63.95</c:v>
                </c:pt>
                <c:pt idx="23">
                  <c:v>-59.859090909000003</c:v>
                </c:pt>
                <c:pt idx="24">
                  <c:v>-55.768181818000002</c:v>
                </c:pt>
                <c:pt idx="25">
                  <c:v>-51.677272727000002</c:v>
                </c:pt>
                <c:pt idx="26">
                  <c:v>-47.586363636000002</c:v>
                </c:pt>
                <c:pt idx="27">
                  <c:v>-43.495454545000001</c:v>
                </c:pt>
                <c:pt idx="28">
                  <c:v>-39.404545455000004</c:v>
                </c:pt>
                <c:pt idx="29">
                  <c:v>-35.313636364000004</c:v>
                </c:pt>
                <c:pt idx="30">
                  <c:v>-31.222727273000004</c:v>
                </c:pt>
                <c:pt idx="31">
                  <c:v>-27.131818182000004</c:v>
                </c:pt>
                <c:pt idx="32">
                  <c:v>-23.040909091000003</c:v>
                </c:pt>
                <c:pt idx="33">
                  <c:v>-18.950000000000003</c:v>
                </c:pt>
                <c:pt idx="34">
                  <c:v>-14.859090909000003</c:v>
                </c:pt>
                <c:pt idx="35">
                  <c:v>-10.768181818000002</c:v>
                </c:pt>
                <c:pt idx="36">
                  <c:v>-6.6772727270000019</c:v>
                </c:pt>
                <c:pt idx="37">
                  <c:v>-2.5863636360000015</c:v>
                </c:pt>
                <c:pt idx="38">
                  <c:v>1.5045454549999988</c:v>
                </c:pt>
                <c:pt idx="39">
                  <c:v>5.5954545449999955</c:v>
                </c:pt>
                <c:pt idx="40">
                  <c:v>9.6863636359999958</c:v>
                </c:pt>
                <c:pt idx="41">
                  <c:v>13.777272726999996</c:v>
                </c:pt>
                <c:pt idx="42">
                  <c:v>17.868181817999996</c:v>
                </c:pt>
                <c:pt idx="43">
                  <c:v>21.959090908999997</c:v>
                </c:pt>
                <c:pt idx="44">
                  <c:v>26.049999999999997</c:v>
                </c:pt>
                <c:pt idx="45">
                  <c:v>26.050000000000011</c:v>
                </c:pt>
                <c:pt idx="46">
                  <c:v>30.140909090999997</c:v>
                </c:pt>
                <c:pt idx="47">
                  <c:v>34.231818181999984</c:v>
                </c:pt>
                <c:pt idx="48">
                  <c:v>38.322727272999998</c:v>
                </c:pt>
                <c:pt idx="49">
                  <c:v>42.413636364000013</c:v>
                </c:pt>
                <c:pt idx="50">
                  <c:v>46.504545454999999</c:v>
                </c:pt>
                <c:pt idx="51">
                  <c:v>50.595454544999996</c:v>
                </c:pt>
                <c:pt idx="52">
                  <c:v>54.686363635999996</c:v>
                </c:pt>
                <c:pt idx="53">
                  <c:v>58.777272726999996</c:v>
                </c:pt>
                <c:pt idx="54">
                  <c:v>62.868181817999996</c:v>
                </c:pt>
                <c:pt idx="55">
                  <c:v>66.959090908999997</c:v>
                </c:pt>
                <c:pt idx="56">
                  <c:v>71.05</c:v>
                </c:pt>
                <c:pt idx="57">
                  <c:v>75.140909090999997</c:v>
                </c:pt>
                <c:pt idx="58">
                  <c:v>79.231818181999998</c:v>
                </c:pt>
                <c:pt idx="59">
                  <c:v>83.322727272999998</c:v>
                </c:pt>
                <c:pt idx="60">
                  <c:v>87.413636363999998</c:v>
                </c:pt>
                <c:pt idx="61">
                  <c:v>-88.495454545000001</c:v>
                </c:pt>
                <c:pt idx="62">
                  <c:v>-84.404545455000004</c:v>
                </c:pt>
                <c:pt idx="63">
                  <c:v>-80.313636364000004</c:v>
                </c:pt>
                <c:pt idx="64">
                  <c:v>-76.222727273000004</c:v>
                </c:pt>
                <c:pt idx="65">
                  <c:v>-72.131818182000004</c:v>
                </c:pt>
                <c:pt idx="66">
                  <c:v>-68.040909091000003</c:v>
                </c:pt>
                <c:pt idx="67">
                  <c:v>-63.95</c:v>
                </c:pt>
                <c:pt idx="68">
                  <c:v>-59.859090909000003</c:v>
                </c:pt>
                <c:pt idx="69">
                  <c:v>-55.768181818000002</c:v>
                </c:pt>
                <c:pt idx="70">
                  <c:v>-51.677272727000002</c:v>
                </c:pt>
                <c:pt idx="71">
                  <c:v>-47.586363636000002</c:v>
                </c:pt>
                <c:pt idx="72">
                  <c:v>-43.495454545000001</c:v>
                </c:pt>
                <c:pt idx="73">
                  <c:v>-39.404545455000004</c:v>
                </c:pt>
                <c:pt idx="74">
                  <c:v>-35.313636364000004</c:v>
                </c:pt>
                <c:pt idx="75">
                  <c:v>-31.222727273000004</c:v>
                </c:pt>
                <c:pt idx="76">
                  <c:v>-27.131818182000004</c:v>
                </c:pt>
                <c:pt idx="77">
                  <c:v>-23.040909091000003</c:v>
                </c:pt>
                <c:pt idx="78">
                  <c:v>-18.950000000000003</c:v>
                </c:pt>
                <c:pt idx="79">
                  <c:v>-14.859090909000003</c:v>
                </c:pt>
                <c:pt idx="80">
                  <c:v>-10.768181818000002</c:v>
                </c:pt>
                <c:pt idx="81">
                  <c:v>-6.6772727270000019</c:v>
                </c:pt>
                <c:pt idx="82">
                  <c:v>-2.5863636360000015</c:v>
                </c:pt>
                <c:pt idx="83">
                  <c:v>1.5045454549999988</c:v>
                </c:pt>
                <c:pt idx="84">
                  <c:v>5.5954545449999955</c:v>
                </c:pt>
                <c:pt idx="85">
                  <c:v>9.6863636359999958</c:v>
                </c:pt>
                <c:pt idx="86">
                  <c:v>13.777272726999996</c:v>
                </c:pt>
                <c:pt idx="87">
                  <c:v>17.868181817999996</c:v>
                </c:pt>
                <c:pt idx="88">
                  <c:v>21.959090908999997</c:v>
                </c:pt>
                <c:pt idx="89">
                  <c:v>26.049999999999997</c:v>
                </c:pt>
              </c:numCache>
            </c:numRef>
          </c:xVal>
          <c:yVal>
            <c:numRef>
              <c:f>CTR!$G$277:$G$366</c:f>
              <c:numCache>
                <c:formatCode>0.0000000</c:formatCode>
                <c:ptCount val="90"/>
                <c:pt idx="0">
                  <c:v>1.9638862999999999E-2</c:v>
                </c:pt>
                <c:pt idx="1">
                  <c:v>1.3641812E-2</c:v>
                </c:pt>
                <c:pt idx="2">
                  <c:v>1.3885534999999999E-2</c:v>
                </c:pt>
                <c:pt idx="3">
                  <c:v>1.4076915000000001E-2</c:v>
                </c:pt>
                <c:pt idx="4">
                  <c:v>1.2575486E-2</c:v>
                </c:pt>
                <c:pt idx="5">
                  <c:v>1.0867501999999999E-2</c:v>
                </c:pt>
                <c:pt idx="6">
                  <c:v>9.8095019999999995E-3</c:v>
                </c:pt>
                <c:pt idx="7">
                  <c:v>9.3757010000000002E-3</c:v>
                </c:pt>
                <c:pt idx="8">
                  <c:v>8.6352860000000007E-3</c:v>
                </c:pt>
                <c:pt idx="9">
                  <c:v>8.3729870000000001E-3</c:v>
                </c:pt>
                <c:pt idx="10">
                  <c:v>8.1462989999999992E-3</c:v>
                </c:pt>
                <c:pt idx="11">
                  <c:v>9.0379780000000003E-3</c:v>
                </c:pt>
                <c:pt idx="12">
                  <c:v>8.9016789999999991E-3</c:v>
                </c:pt>
                <c:pt idx="13">
                  <c:v>9.1213809999999996E-3</c:v>
                </c:pt>
                <c:pt idx="14">
                  <c:v>8.4832629999999996E-3</c:v>
                </c:pt>
                <c:pt idx="15">
                  <c:v>7.6152160000000002E-3</c:v>
                </c:pt>
                <c:pt idx="16">
                  <c:v>7.1439720000000002E-3</c:v>
                </c:pt>
                <c:pt idx="17">
                  <c:v>7.1256100000000001E-3</c:v>
                </c:pt>
                <c:pt idx="18">
                  <c:v>7.919855E-3</c:v>
                </c:pt>
                <c:pt idx="19">
                  <c:v>7.088273E-3</c:v>
                </c:pt>
                <c:pt idx="20">
                  <c:v>8.136384E-3</c:v>
                </c:pt>
                <c:pt idx="21">
                  <c:v>7.6659789999999998E-3</c:v>
                </c:pt>
                <c:pt idx="22">
                  <c:v>1.0231539E-2</c:v>
                </c:pt>
                <c:pt idx="23">
                  <c:v>8.7080679999999994E-3</c:v>
                </c:pt>
                <c:pt idx="24">
                  <c:v>9.2464509999999993E-3</c:v>
                </c:pt>
                <c:pt idx="25">
                  <c:v>1.0118026E-2</c:v>
                </c:pt>
                <c:pt idx="26">
                  <c:v>1.0248835E-2</c:v>
                </c:pt>
                <c:pt idx="27">
                  <c:v>1.2204036E-2</c:v>
                </c:pt>
                <c:pt idx="28">
                  <c:v>1.4618696E-2</c:v>
                </c:pt>
                <c:pt idx="29">
                  <c:v>1.7431393E-2</c:v>
                </c:pt>
                <c:pt idx="30">
                  <c:v>2.4931182999999999E-2</c:v>
                </c:pt>
                <c:pt idx="31">
                  <c:v>2.9164414E-2</c:v>
                </c:pt>
                <c:pt idx="32">
                  <c:v>2.8813465999999999E-2</c:v>
                </c:pt>
                <c:pt idx="33">
                  <c:v>3.6961528E-2</c:v>
                </c:pt>
                <c:pt idx="34">
                  <c:v>5.0696552999999998E-2</c:v>
                </c:pt>
                <c:pt idx="35">
                  <c:v>6.3274271000000007E-2</c:v>
                </c:pt>
                <c:pt idx="36">
                  <c:v>5.2303014000000002E-2</c:v>
                </c:pt>
                <c:pt idx="37">
                  <c:v>6.4197457999999999E-2</c:v>
                </c:pt>
                <c:pt idx="38">
                  <c:v>6.1460327000000002E-2</c:v>
                </c:pt>
                <c:pt idx="39">
                  <c:v>6.0391407000000001E-2</c:v>
                </c:pt>
                <c:pt idx="40">
                  <c:v>7.7929904999999994E-2</c:v>
                </c:pt>
                <c:pt idx="41">
                  <c:v>6.1988369000000001E-2</c:v>
                </c:pt>
                <c:pt idx="42">
                  <c:v>3.7747430999999998E-2</c:v>
                </c:pt>
                <c:pt idx="43">
                  <c:v>2.0429288E-2</c:v>
                </c:pt>
                <c:pt idx="44">
                  <c:v>1.9638862999999999E-2</c:v>
                </c:pt>
                <c:pt idx="45">
                  <c:v>2.1949561999999999E-2</c:v>
                </c:pt>
                <c:pt idx="46">
                  <c:v>1.6949414999999999E-2</c:v>
                </c:pt>
                <c:pt idx="47">
                  <c:v>1.7128180999999999E-2</c:v>
                </c:pt>
                <c:pt idx="48">
                  <c:v>1.5049659E-2</c:v>
                </c:pt>
                <c:pt idx="49">
                  <c:v>1.3699220999999999E-2</c:v>
                </c:pt>
                <c:pt idx="50">
                  <c:v>1.3480561E-2</c:v>
                </c:pt>
                <c:pt idx="51">
                  <c:v>1.4564462E-2</c:v>
                </c:pt>
                <c:pt idx="52">
                  <c:v>1.4877003999999999E-2</c:v>
                </c:pt>
                <c:pt idx="53">
                  <c:v>1.3434846E-2</c:v>
                </c:pt>
                <c:pt idx="54">
                  <c:v>1.2125538E-2</c:v>
                </c:pt>
                <c:pt idx="55">
                  <c:v>1.0430547E-2</c:v>
                </c:pt>
                <c:pt idx="56">
                  <c:v>1.0302192999999999E-2</c:v>
                </c:pt>
                <c:pt idx="57">
                  <c:v>9.9364780000000003E-3</c:v>
                </c:pt>
                <c:pt idx="58">
                  <c:v>1.0340151000000001E-2</c:v>
                </c:pt>
                <c:pt idx="59">
                  <c:v>9.4012839999999993E-3</c:v>
                </c:pt>
                <c:pt idx="60">
                  <c:v>8.7780670000000005E-3</c:v>
                </c:pt>
                <c:pt idx="61">
                  <c:v>8.229597E-3</c:v>
                </c:pt>
                <c:pt idx="62">
                  <c:v>8.1289550000000002E-3</c:v>
                </c:pt>
                <c:pt idx="63">
                  <c:v>7.6556489999999996E-3</c:v>
                </c:pt>
                <c:pt idx="64">
                  <c:v>7.7988429999999997E-3</c:v>
                </c:pt>
                <c:pt idx="65">
                  <c:v>8.0835739999999996E-3</c:v>
                </c:pt>
                <c:pt idx="66">
                  <c:v>8.7684519999999995E-3</c:v>
                </c:pt>
                <c:pt idx="67">
                  <c:v>9.7393840000000002E-3</c:v>
                </c:pt>
                <c:pt idx="68">
                  <c:v>9.0894949999999995E-3</c:v>
                </c:pt>
                <c:pt idx="69">
                  <c:v>8.6699900000000007E-3</c:v>
                </c:pt>
                <c:pt idx="70">
                  <c:v>8.9490509999999995E-3</c:v>
                </c:pt>
                <c:pt idx="71">
                  <c:v>1.0474084999999999E-2</c:v>
                </c:pt>
                <c:pt idx="72">
                  <c:v>1.1343819999999999E-2</c:v>
                </c:pt>
                <c:pt idx="73">
                  <c:v>1.0063692000000001E-2</c:v>
                </c:pt>
                <c:pt idx="74">
                  <c:v>1.4251152E-2</c:v>
                </c:pt>
                <c:pt idx="75">
                  <c:v>1.7355483000000001E-2</c:v>
                </c:pt>
                <c:pt idx="76">
                  <c:v>2.1358766000000001E-2</c:v>
                </c:pt>
                <c:pt idx="77">
                  <c:v>2.0729427000000002E-2</c:v>
                </c:pt>
                <c:pt idx="78">
                  <c:v>2.8724530000000002E-2</c:v>
                </c:pt>
                <c:pt idx="79">
                  <c:v>2.9885521000000002E-2</c:v>
                </c:pt>
                <c:pt idx="80">
                  <c:v>3.9257087000000003E-2</c:v>
                </c:pt>
                <c:pt idx="81">
                  <c:v>5.1714217E-2</c:v>
                </c:pt>
                <c:pt idx="82">
                  <c:v>6.5931910999999996E-2</c:v>
                </c:pt>
                <c:pt idx="83">
                  <c:v>7.4676787999999994E-2</c:v>
                </c:pt>
                <c:pt idx="84">
                  <c:v>8.5142897999999995E-2</c:v>
                </c:pt>
                <c:pt idx="85">
                  <c:v>7.7476080000000003E-2</c:v>
                </c:pt>
                <c:pt idx="86">
                  <c:v>6.3177850999999993E-2</c:v>
                </c:pt>
                <c:pt idx="87">
                  <c:v>3.7283136000000001E-2</c:v>
                </c:pt>
                <c:pt idx="88">
                  <c:v>2.1643836999999999E-2</c:v>
                </c:pt>
                <c:pt idx="89">
                  <c:v>2.1949561999999999E-2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16-4278-A300-9BE5088C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53383"/>
        <c:axId val="17775550"/>
      </c:scatterChart>
      <c:valAx>
        <c:axId val="39753383"/>
        <c:scaling>
          <c:orientation val="minMax"/>
          <c:max val="90"/>
          <c:min val="-9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nl-BE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Main direction °()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4472C4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17775550"/>
        <c:crosses val="autoZero"/>
        <c:crossBetween val="midCat"/>
      </c:valAx>
      <c:valAx>
        <c:axId val="177755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nl-BE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Amount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397533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nl-B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nl-B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dispRSqr val="0"/>
            <c:dispEq val="0"/>
          </c:trendline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log"/>
            <c:dispRSqr val="0"/>
            <c:dispEq val="0"/>
          </c:trendline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log"/>
            <c:dispRSqr val="0"/>
            <c:dispEq val="0"/>
          </c:trendline>
          <c:trendline>
            <c:spPr>
              <a:ln w="19080" cap="rnd">
                <a:solidFill>
                  <a:srgbClr val="4472C4"/>
                </a:solidFill>
                <a:prstDash val="sysDot"/>
                <a:round/>
              </a:ln>
            </c:spPr>
            <c:trendlineType val="power"/>
            <c:dispRSqr val="0"/>
            <c:dispEq val="0"/>
          </c:trendline>
          <c:xVal>
            <c:numRef>
              <c:f>CTR!$J$7:$J$366</c:f>
              <c:numCache>
                <c:formatCode>0</c:formatCode>
                <c:ptCount val="360"/>
                <c:pt idx="0">
                  <c:v>30.72999999999999</c:v>
                </c:pt>
                <c:pt idx="1">
                  <c:v>34.820909091000004</c:v>
                </c:pt>
                <c:pt idx="2">
                  <c:v>38.91181818199999</c:v>
                </c:pt>
                <c:pt idx="3">
                  <c:v>43.002727273000005</c:v>
                </c:pt>
                <c:pt idx="4">
                  <c:v>47.093636363999991</c:v>
                </c:pt>
                <c:pt idx="5">
                  <c:v>51.184545455000006</c:v>
                </c:pt>
                <c:pt idx="6">
                  <c:v>55.275454545000002</c:v>
                </c:pt>
                <c:pt idx="7">
                  <c:v>59.366363635999988</c:v>
                </c:pt>
                <c:pt idx="8">
                  <c:v>63.457272727000003</c:v>
                </c:pt>
                <c:pt idx="9">
                  <c:v>67.548181817999989</c:v>
                </c:pt>
                <c:pt idx="10">
                  <c:v>71.639090909000004</c:v>
                </c:pt>
                <c:pt idx="11">
                  <c:v>75.72999999999999</c:v>
                </c:pt>
                <c:pt idx="12">
                  <c:v>79.820909091000004</c:v>
                </c:pt>
                <c:pt idx="13">
                  <c:v>83.91181818199999</c:v>
                </c:pt>
                <c:pt idx="14">
                  <c:v>88.002727273000005</c:v>
                </c:pt>
                <c:pt idx="15">
                  <c:v>-87.906363636000009</c:v>
                </c:pt>
                <c:pt idx="16">
                  <c:v>-83.815454544999994</c:v>
                </c:pt>
                <c:pt idx="17">
                  <c:v>-79.724545454999998</c:v>
                </c:pt>
                <c:pt idx="18">
                  <c:v>-75.633636364000012</c:v>
                </c:pt>
                <c:pt idx="19">
                  <c:v>-71.542727272999997</c:v>
                </c:pt>
                <c:pt idx="20">
                  <c:v>-67.451818182000011</c:v>
                </c:pt>
                <c:pt idx="21">
                  <c:v>-63.360909091000003</c:v>
                </c:pt>
                <c:pt idx="22">
                  <c:v>-59.27</c:v>
                </c:pt>
                <c:pt idx="23">
                  <c:v>-55.179090909000003</c:v>
                </c:pt>
                <c:pt idx="24">
                  <c:v>-51.088181818000002</c:v>
                </c:pt>
                <c:pt idx="25">
                  <c:v>-46.997272727000002</c:v>
                </c:pt>
                <c:pt idx="26">
                  <c:v>-42.906363636000002</c:v>
                </c:pt>
                <c:pt idx="27">
                  <c:v>-38.815454545000001</c:v>
                </c:pt>
                <c:pt idx="28">
                  <c:v>-34.724545455000005</c:v>
                </c:pt>
                <c:pt idx="29">
                  <c:v>-30.633636364000004</c:v>
                </c:pt>
                <c:pt idx="30">
                  <c:v>-26.542727273000004</c:v>
                </c:pt>
                <c:pt idx="31">
                  <c:v>-22.451818182000004</c:v>
                </c:pt>
                <c:pt idx="32">
                  <c:v>-18.360909091000003</c:v>
                </c:pt>
                <c:pt idx="33">
                  <c:v>-14.270000000000003</c:v>
                </c:pt>
                <c:pt idx="34">
                  <c:v>-10.179090909000003</c:v>
                </c:pt>
                <c:pt idx="35">
                  <c:v>-6.0881818180000025</c:v>
                </c:pt>
                <c:pt idx="36">
                  <c:v>-1.9972727270000021</c:v>
                </c:pt>
                <c:pt idx="37">
                  <c:v>2.0936363639999982</c:v>
                </c:pt>
                <c:pt idx="38">
                  <c:v>6.1845454549999985</c:v>
                </c:pt>
                <c:pt idx="39">
                  <c:v>10.275454544999995</c:v>
                </c:pt>
                <c:pt idx="40">
                  <c:v>14.366363635999996</c:v>
                </c:pt>
                <c:pt idx="41">
                  <c:v>18.457272726999996</c:v>
                </c:pt>
                <c:pt idx="42">
                  <c:v>22.548181817999996</c:v>
                </c:pt>
                <c:pt idx="43">
                  <c:v>26.639090908999997</c:v>
                </c:pt>
                <c:pt idx="44">
                  <c:v>30.729999999999997</c:v>
                </c:pt>
                <c:pt idx="45">
                  <c:v>26.180000000000007</c:v>
                </c:pt>
                <c:pt idx="46">
                  <c:v>30.270909090999993</c:v>
                </c:pt>
                <c:pt idx="47">
                  <c:v>34.361818182000007</c:v>
                </c:pt>
                <c:pt idx="48">
                  <c:v>38.452727272999994</c:v>
                </c:pt>
                <c:pt idx="49">
                  <c:v>42.543636364000008</c:v>
                </c:pt>
                <c:pt idx="50">
                  <c:v>46.634545454999994</c:v>
                </c:pt>
                <c:pt idx="51">
                  <c:v>50.725454544999991</c:v>
                </c:pt>
                <c:pt idx="52">
                  <c:v>54.816363636000005</c:v>
                </c:pt>
                <c:pt idx="53">
                  <c:v>58.907272726999992</c:v>
                </c:pt>
                <c:pt idx="54">
                  <c:v>62.998181818000006</c:v>
                </c:pt>
                <c:pt idx="55">
                  <c:v>67.089090908999992</c:v>
                </c:pt>
                <c:pt idx="56">
                  <c:v>71.180000000000007</c:v>
                </c:pt>
                <c:pt idx="57">
                  <c:v>75.270909090999993</c:v>
                </c:pt>
                <c:pt idx="58">
                  <c:v>79.361818182000007</c:v>
                </c:pt>
                <c:pt idx="59">
                  <c:v>83.452727272999994</c:v>
                </c:pt>
                <c:pt idx="60">
                  <c:v>87.543636364000008</c:v>
                </c:pt>
                <c:pt idx="61">
                  <c:v>-88.365454545000006</c:v>
                </c:pt>
                <c:pt idx="62">
                  <c:v>-84.274545455000009</c:v>
                </c:pt>
                <c:pt idx="63">
                  <c:v>-80.183636363999995</c:v>
                </c:pt>
                <c:pt idx="64">
                  <c:v>-76.092727272999994</c:v>
                </c:pt>
                <c:pt idx="65">
                  <c:v>-72.001818181999994</c:v>
                </c:pt>
                <c:pt idx="66">
                  <c:v>-67.910909091000008</c:v>
                </c:pt>
                <c:pt idx="67">
                  <c:v>-63.82</c:v>
                </c:pt>
                <c:pt idx="68">
                  <c:v>-59.729090909</c:v>
                </c:pt>
                <c:pt idx="69">
                  <c:v>-55.638181818</c:v>
                </c:pt>
                <c:pt idx="70">
                  <c:v>-51.547272726999999</c:v>
                </c:pt>
                <c:pt idx="71">
                  <c:v>-47.456363635999999</c:v>
                </c:pt>
                <c:pt idx="72">
                  <c:v>-43.365454544999999</c:v>
                </c:pt>
                <c:pt idx="73">
                  <c:v>-39.274545455000002</c:v>
                </c:pt>
                <c:pt idx="74">
                  <c:v>-35.183636364000002</c:v>
                </c:pt>
                <c:pt idx="75">
                  <c:v>-31.092727273000001</c:v>
                </c:pt>
                <c:pt idx="76">
                  <c:v>-27.001818182000001</c:v>
                </c:pt>
                <c:pt idx="77">
                  <c:v>-22.910909091000001</c:v>
                </c:pt>
                <c:pt idx="78">
                  <c:v>-18.82</c:v>
                </c:pt>
                <c:pt idx="79">
                  <c:v>-14.729090909</c:v>
                </c:pt>
                <c:pt idx="80">
                  <c:v>-10.638181818</c:v>
                </c:pt>
                <c:pt idx="81">
                  <c:v>-6.5472727269999993</c:v>
                </c:pt>
                <c:pt idx="82">
                  <c:v>-2.456363635999999</c:v>
                </c:pt>
                <c:pt idx="83">
                  <c:v>1.6345454550000014</c:v>
                </c:pt>
                <c:pt idx="84">
                  <c:v>5.7254545449999981</c:v>
                </c:pt>
                <c:pt idx="85">
                  <c:v>9.8163636359999984</c:v>
                </c:pt>
                <c:pt idx="86">
                  <c:v>13.907272726999999</c:v>
                </c:pt>
                <c:pt idx="87">
                  <c:v>17.998181817999999</c:v>
                </c:pt>
                <c:pt idx="88">
                  <c:v>22.089090908999999</c:v>
                </c:pt>
                <c:pt idx="89">
                  <c:v>26.18</c:v>
                </c:pt>
                <c:pt idx="90">
                  <c:v>29.039999999999992</c:v>
                </c:pt>
                <c:pt idx="91">
                  <c:v>33.130909091000007</c:v>
                </c:pt>
                <c:pt idx="92">
                  <c:v>37.221818181999993</c:v>
                </c:pt>
                <c:pt idx="93">
                  <c:v>41.312727273000007</c:v>
                </c:pt>
                <c:pt idx="94">
                  <c:v>45.403636363999993</c:v>
                </c:pt>
                <c:pt idx="95">
                  <c:v>49.494545455000008</c:v>
                </c:pt>
                <c:pt idx="96">
                  <c:v>53.585454545000005</c:v>
                </c:pt>
                <c:pt idx="97">
                  <c:v>57.676363635999991</c:v>
                </c:pt>
                <c:pt idx="98">
                  <c:v>61.767272727000005</c:v>
                </c:pt>
                <c:pt idx="99">
                  <c:v>65.858181817999991</c:v>
                </c:pt>
                <c:pt idx="100">
                  <c:v>69.949090909000006</c:v>
                </c:pt>
                <c:pt idx="101">
                  <c:v>74.039999999999992</c:v>
                </c:pt>
                <c:pt idx="102">
                  <c:v>78.130909091000007</c:v>
                </c:pt>
                <c:pt idx="103">
                  <c:v>82.221818181999993</c:v>
                </c:pt>
                <c:pt idx="104">
                  <c:v>86.312727273000007</c:v>
                </c:pt>
                <c:pt idx="105">
                  <c:v>-89.596363636000007</c:v>
                </c:pt>
                <c:pt idx="106">
                  <c:v>-85.505454544999992</c:v>
                </c:pt>
                <c:pt idx="107">
                  <c:v>-81.414545454999995</c:v>
                </c:pt>
                <c:pt idx="108">
                  <c:v>-77.323636364000009</c:v>
                </c:pt>
                <c:pt idx="109">
                  <c:v>-73.232727272999995</c:v>
                </c:pt>
                <c:pt idx="110">
                  <c:v>-69.141818182000009</c:v>
                </c:pt>
                <c:pt idx="111">
                  <c:v>-65.050909090999994</c:v>
                </c:pt>
                <c:pt idx="112">
                  <c:v>-60.96</c:v>
                </c:pt>
                <c:pt idx="113">
                  <c:v>-56.869090909000001</c:v>
                </c:pt>
                <c:pt idx="114">
                  <c:v>-52.778181818</c:v>
                </c:pt>
                <c:pt idx="115">
                  <c:v>-48.687272727</c:v>
                </c:pt>
                <c:pt idx="116">
                  <c:v>-44.596363636</c:v>
                </c:pt>
                <c:pt idx="117">
                  <c:v>-40.505454544999999</c:v>
                </c:pt>
                <c:pt idx="118">
                  <c:v>-36.414545455000003</c:v>
                </c:pt>
                <c:pt idx="119">
                  <c:v>-32.323636364000002</c:v>
                </c:pt>
                <c:pt idx="120">
                  <c:v>-28.232727273000002</c:v>
                </c:pt>
                <c:pt idx="121">
                  <c:v>-24.141818182000002</c:v>
                </c:pt>
                <c:pt idx="122">
                  <c:v>-20.050909091000001</c:v>
                </c:pt>
                <c:pt idx="123">
                  <c:v>-15.96</c:v>
                </c:pt>
                <c:pt idx="124">
                  <c:v>-11.869090909000001</c:v>
                </c:pt>
                <c:pt idx="125">
                  <c:v>-7.7781818180000002</c:v>
                </c:pt>
                <c:pt idx="126">
                  <c:v>-3.6872727269999999</c:v>
                </c:pt>
                <c:pt idx="127">
                  <c:v>0.40363636400000047</c:v>
                </c:pt>
                <c:pt idx="128">
                  <c:v>4.4945454550000008</c:v>
                </c:pt>
                <c:pt idx="129">
                  <c:v>8.5854545449999975</c:v>
                </c:pt>
                <c:pt idx="130">
                  <c:v>12.676363635999998</c:v>
                </c:pt>
                <c:pt idx="131">
                  <c:v>16.767272726999998</c:v>
                </c:pt>
                <c:pt idx="132">
                  <c:v>20.858181817999998</c:v>
                </c:pt>
                <c:pt idx="133">
                  <c:v>24.949090908999999</c:v>
                </c:pt>
                <c:pt idx="134">
                  <c:v>29.04</c:v>
                </c:pt>
                <c:pt idx="135">
                  <c:v>32.039999999999992</c:v>
                </c:pt>
                <c:pt idx="136">
                  <c:v>36.130909091000007</c:v>
                </c:pt>
                <c:pt idx="137">
                  <c:v>40.221818181999993</c:v>
                </c:pt>
                <c:pt idx="138">
                  <c:v>44.312727273000007</c:v>
                </c:pt>
                <c:pt idx="139">
                  <c:v>48.403636363999993</c:v>
                </c:pt>
                <c:pt idx="140">
                  <c:v>52.494545455000008</c:v>
                </c:pt>
                <c:pt idx="141">
                  <c:v>56.585454545000005</c:v>
                </c:pt>
                <c:pt idx="142">
                  <c:v>60.676363635999991</c:v>
                </c:pt>
                <c:pt idx="143">
                  <c:v>64.767272727000005</c:v>
                </c:pt>
                <c:pt idx="144">
                  <c:v>68.858181817999991</c:v>
                </c:pt>
                <c:pt idx="145">
                  <c:v>72.949090909000006</c:v>
                </c:pt>
                <c:pt idx="146">
                  <c:v>77.039999999999992</c:v>
                </c:pt>
                <c:pt idx="147">
                  <c:v>81.130909091000007</c:v>
                </c:pt>
                <c:pt idx="148">
                  <c:v>85.221818181999993</c:v>
                </c:pt>
                <c:pt idx="149">
                  <c:v>89.312727273000007</c:v>
                </c:pt>
                <c:pt idx="150">
                  <c:v>-86.596363636000007</c:v>
                </c:pt>
                <c:pt idx="151">
                  <c:v>-82.505454544999992</c:v>
                </c:pt>
                <c:pt idx="152">
                  <c:v>-78.414545454999995</c:v>
                </c:pt>
                <c:pt idx="153">
                  <c:v>-74.323636364000009</c:v>
                </c:pt>
                <c:pt idx="154">
                  <c:v>-70.232727272999995</c:v>
                </c:pt>
                <c:pt idx="155">
                  <c:v>-66.141818182000009</c:v>
                </c:pt>
                <c:pt idx="156">
                  <c:v>-62.050909091000001</c:v>
                </c:pt>
                <c:pt idx="157">
                  <c:v>-57.96</c:v>
                </c:pt>
                <c:pt idx="158">
                  <c:v>-53.869090909000001</c:v>
                </c:pt>
                <c:pt idx="159">
                  <c:v>-49.778181818</c:v>
                </c:pt>
                <c:pt idx="160">
                  <c:v>-45.687272727</c:v>
                </c:pt>
                <c:pt idx="161">
                  <c:v>-41.596363636</c:v>
                </c:pt>
                <c:pt idx="162">
                  <c:v>-37.505454544999999</c:v>
                </c:pt>
                <c:pt idx="163">
                  <c:v>-33.414545455000003</c:v>
                </c:pt>
                <c:pt idx="164">
                  <c:v>-29.323636364000002</c:v>
                </c:pt>
                <c:pt idx="165">
                  <c:v>-25.232727273000002</c:v>
                </c:pt>
                <c:pt idx="166">
                  <c:v>-21.141818182000002</c:v>
                </c:pt>
                <c:pt idx="167">
                  <c:v>-17.050909091000001</c:v>
                </c:pt>
                <c:pt idx="168">
                  <c:v>-12.96</c:v>
                </c:pt>
                <c:pt idx="169">
                  <c:v>-8.8690909090000005</c:v>
                </c:pt>
                <c:pt idx="170">
                  <c:v>-4.7781818180000002</c:v>
                </c:pt>
                <c:pt idx="171">
                  <c:v>-0.68727272699999986</c:v>
                </c:pt>
                <c:pt idx="172">
                  <c:v>3.4036363640000005</c:v>
                </c:pt>
                <c:pt idx="173">
                  <c:v>7.4945454550000008</c:v>
                </c:pt>
                <c:pt idx="174">
                  <c:v>11.585454544999997</c:v>
                </c:pt>
                <c:pt idx="175">
                  <c:v>15.676363635999998</c:v>
                </c:pt>
                <c:pt idx="176">
                  <c:v>19.767272726999998</c:v>
                </c:pt>
                <c:pt idx="177">
                  <c:v>23.858181817999998</c:v>
                </c:pt>
                <c:pt idx="178">
                  <c:v>27.949090908999999</c:v>
                </c:pt>
                <c:pt idx="179">
                  <c:v>32.04</c:v>
                </c:pt>
                <c:pt idx="180">
                  <c:v>33.889999999999986</c:v>
                </c:pt>
                <c:pt idx="181">
                  <c:v>37.980909091000001</c:v>
                </c:pt>
                <c:pt idx="182">
                  <c:v>42.071818182000015</c:v>
                </c:pt>
                <c:pt idx="183">
                  <c:v>46.162727273000002</c:v>
                </c:pt>
                <c:pt idx="184">
                  <c:v>50.253636363999988</c:v>
                </c:pt>
                <c:pt idx="185">
                  <c:v>54.344545455000002</c:v>
                </c:pt>
                <c:pt idx="186">
                  <c:v>58.435454544999999</c:v>
                </c:pt>
                <c:pt idx="187">
                  <c:v>62.526363635999999</c:v>
                </c:pt>
                <c:pt idx="188">
                  <c:v>66.617272727</c:v>
                </c:pt>
                <c:pt idx="189">
                  <c:v>70.708181818</c:v>
                </c:pt>
                <c:pt idx="190">
                  <c:v>74.799090909</c:v>
                </c:pt>
                <c:pt idx="191">
                  <c:v>78.89</c:v>
                </c:pt>
                <c:pt idx="192">
                  <c:v>82.980909091000001</c:v>
                </c:pt>
                <c:pt idx="193">
                  <c:v>87.071818182000001</c:v>
                </c:pt>
                <c:pt idx="194">
                  <c:v>-88.837272726999998</c:v>
                </c:pt>
                <c:pt idx="195">
                  <c:v>-84.746363635999998</c:v>
                </c:pt>
                <c:pt idx="196">
                  <c:v>-80.655454544999998</c:v>
                </c:pt>
                <c:pt idx="197">
                  <c:v>-76.564545455000001</c:v>
                </c:pt>
                <c:pt idx="198">
                  <c:v>-72.473636364000001</c:v>
                </c:pt>
                <c:pt idx="199">
                  <c:v>-68.382727273</c:v>
                </c:pt>
                <c:pt idx="200">
                  <c:v>-64.291818182</c:v>
                </c:pt>
                <c:pt idx="201">
                  <c:v>-60.200909091</c:v>
                </c:pt>
                <c:pt idx="202">
                  <c:v>-56.11</c:v>
                </c:pt>
                <c:pt idx="203">
                  <c:v>-52.019090908999999</c:v>
                </c:pt>
                <c:pt idx="204">
                  <c:v>-47.928181817999999</c:v>
                </c:pt>
                <c:pt idx="205">
                  <c:v>-43.837272726999998</c:v>
                </c:pt>
                <c:pt idx="206">
                  <c:v>-39.746363635999998</c:v>
                </c:pt>
                <c:pt idx="207">
                  <c:v>-35.655454544999998</c:v>
                </c:pt>
                <c:pt idx="208">
                  <c:v>-31.564545455000001</c:v>
                </c:pt>
                <c:pt idx="209">
                  <c:v>-27.473636364000001</c:v>
                </c:pt>
                <c:pt idx="210">
                  <c:v>-23.382727273</c:v>
                </c:pt>
                <c:pt idx="211">
                  <c:v>-19.291818182</c:v>
                </c:pt>
                <c:pt idx="212">
                  <c:v>-15.200909091</c:v>
                </c:pt>
                <c:pt idx="213">
                  <c:v>-11.11</c:v>
                </c:pt>
                <c:pt idx="214">
                  <c:v>-7.0190909089999991</c:v>
                </c:pt>
                <c:pt idx="215">
                  <c:v>-2.9281818179999988</c:v>
                </c:pt>
                <c:pt idx="216">
                  <c:v>1.1627272730000016</c:v>
                </c:pt>
                <c:pt idx="217">
                  <c:v>5.2536363640000019</c:v>
                </c:pt>
                <c:pt idx="218">
                  <c:v>9.3445454550000022</c:v>
                </c:pt>
                <c:pt idx="219">
                  <c:v>13.435454544999999</c:v>
                </c:pt>
                <c:pt idx="220">
                  <c:v>17.526363635999999</c:v>
                </c:pt>
                <c:pt idx="221">
                  <c:v>21.617272727</c:v>
                </c:pt>
                <c:pt idx="222">
                  <c:v>25.708181818</c:v>
                </c:pt>
                <c:pt idx="223">
                  <c:v>29.799090909</c:v>
                </c:pt>
                <c:pt idx="224">
                  <c:v>33.89</c:v>
                </c:pt>
                <c:pt idx="225">
                  <c:v>33.889999999999986</c:v>
                </c:pt>
                <c:pt idx="226">
                  <c:v>37.980909091000001</c:v>
                </c:pt>
                <c:pt idx="227">
                  <c:v>42.071818182000015</c:v>
                </c:pt>
                <c:pt idx="228">
                  <c:v>46.162727273000002</c:v>
                </c:pt>
                <c:pt idx="229">
                  <c:v>50.253636363999988</c:v>
                </c:pt>
                <c:pt idx="230">
                  <c:v>54.344545455000002</c:v>
                </c:pt>
                <c:pt idx="231">
                  <c:v>58.435454544999999</c:v>
                </c:pt>
                <c:pt idx="232">
                  <c:v>62.526363635999999</c:v>
                </c:pt>
                <c:pt idx="233">
                  <c:v>66.617272727</c:v>
                </c:pt>
                <c:pt idx="234">
                  <c:v>70.708181818</c:v>
                </c:pt>
                <c:pt idx="235">
                  <c:v>74.799090909</c:v>
                </c:pt>
                <c:pt idx="236">
                  <c:v>78.89</c:v>
                </c:pt>
                <c:pt idx="237">
                  <c:v>82.980909091000001</c:v>
                </c:pt>
                <c:pt idx="238">
                  <c:v>87.071818182000001</c:v>
                </c:pt>
                <c:pt idx="239">
                  <c:v>-88.837272726999998</c:v>
                </c:pt>
                <c:pt idx="240">
                  <c:v>-84.746363635999998</c:v>
                </c:pt>
                <c:pt idx="241">
                  <c:v>-80.655454544999998</c:v>
                </c:pt>
                <c:pt idx="242">
                  <c:v>-76.564545455000001</c:v>
                </c:pt>
                <c:pt idx="243">
                  <c:v>-72.473636364000001</c:v>
                </c:pt>
                <c:pt idx="244">
                  <c:v>-68.382727273</c:v>
                </c:pt>
                <c:pt idx="245">
                  <c:v>-64.291818182</c:v>
                </c:pt>
                <c:pt idx="246">
                  <c:v>-60.200909091</c:v>
                </c:pt>
                <c:pt idx="247">
                  <c:v>-56.11</c:v>
                </c:pt>
                <c:pt idx="248">
                  <c:v>-52.019090908999999</c:v>
                </c:pt>
                <c:pt idx="249">
                  <c:v>-47.928181817999999</c:v>
                </c:pt>
                <c:pt idx="250">
                  <c:v>-43.837272726999998</c:v>
                </c:pt>
                <c:pt idx="251">
                  <c:v>-39.746363635999998</c:v>
                </c:pt>
                <c:pt idx="252">
                  <c:v>-35.655454544999998</c:v>
                </c:pt>
                <c:pt idx="253">
                  <c:v>-31.564545455000001</c:v>
                </c:pt>
                <c:pt idx="254">
                  <c:v>-27.473636364000001</c:v>
                </c:pt>
                <c:pt idx="255">
                  <c:v>-23.382727273</c:v>
                </c:pt>
                <c:pt idx="256">
                  <c:v>-19.291818182</c:v>
                </c:pt>
                <c:pt idx="257">
                  <c:v>-15.200909091</c:v>
                </c:pt>
                <c:pt idx="258">
                  <c:v>-11.11</c:v>
                </c:pt>
                <c:pt idx="259">
                  <c:v>-7.0190909089999991</c:v>
                </c:pt>
                <c:pt idx="260">
                  <c:v>-2.9281818179999988</c:v>
                </c:pt>
                <c:pt idx="261">
                  <c:v>1.1627272730000016</c:v>
                </c:pt>
                <c:pt idx="262">
                  <c:v>5.2536363640000019</c:v>
                </c:pt>
                <c:pt idx="263">
                  <c:v>9.3445454550000022</c:v>
                </c:pt>
                <c:pt idx="264">
                  <c:v>13.435454544999999</c:v>
                </c:pt>
                <c:pt idx="265">
                  <c:v>17.526363635999999</c:v>
                </c:pt>
                <c:pt idx="266">
                  <c:v>21.617272727</c:v>
                </c:pt>
                <c:pt idx="267">
                  <c:v>25.708181818</c:v>
                </c:pt>
                <c:pt idx="268">
                  <c:v>29.799090909</c:v>
                </c:pt>
                <c:pt idx="269">
                  <c:v>33.89</c:v>
                </c:pt>
                <c:pt idx="270">
                  <c:v>26.050000000000011</c:v>
                </c:pt>
                <c:pt idx="271">
                  <c:v>30.140909090999997</c:v>
                </c:pt>
                <c:pt idx="272">
                  <c:v>34.231818181999984</c:v>
                </c:pt>
                <c:pt idx="273">
                  <c:v>38.322727272999998</c:v>
                </c:pt>
                <c:pt idx="274">
                  <c:v>42.413636364000013</c:v>
                </c:pt>
                <c:pt idx="275">
                  <c:v>46.504545454999999</c:v>
                </c:pt>
                <c:pt idx="276">
                  <c:v>50.595454544999996</c:v>
                </c:pt>
                <c:pt idx="277">
                  <c:v>54.686363635999996</c:v>
                </c:pt>
                <c:pt idx="278">
                  <c:v>58.777272726999996</c:v>
                </c:pt>
                <c:pt idx="279">
                  <c:v>62.868181817999996</c:v>
                </c:pt>
                <c:pt idx="280">
                  <c:v>66.959090908999997</c:v>
                </c:pt>
                <c:pt idx="281">
                  <c:v>71.05</c:v>
                </c:pt>
                <c:pt idx="282">
                  <c:v>75.140909090999997</c:v>
                </c:pt>
                <c:pt idx="283">
                  <c:v>79.231818181999998</c:v>
                </c:pt>
                <c:pt idx="284">
                  <c:v>83.322727272999998</c:v>
                </c:pt>
                <c:pt idx="285">
                  <c:v>87.413636363999998</c:v>
                </c:pt>
                <c:pt idx="286">
                  <c:v>-88.495454545000001</c:v>
                </c:pt>
                <c:pt idx="287">
                  <c:v>-84.404545455000004</c:v>
                </c:pt>
                <c:pt idx="288">
                  <c:v>-80.313636364000004</c:v>
                </c:pt>
                <c:pt idx="289">
                  <c:v>-76.222727273000004</c:v>
                </c:pt>
                <c:pt idx="290">
                  <c:v>-72.131818182000004</c:v>
                </c:pt>
                <c:pt idx="291">
                  <c:v>-68.040909091000003</c:v>
                </c:pt>
                <c:pt idx="292">
                  <c:v>-63.95</c:v>
                </c:pt>
                <c:pt idx="293">
                  <c:v>-59.859090909000003</c:v>
                </c:pt>
                <c:pt idx="294">
                  <c:v>-55.768181818000002</c:v>
                </c:pt>
                <c:pt idx="295">
                  <c:v>-51.677272727000002</c:v>
                </c:pt>
                <c:pt idx="296">
                  <c:v>-47.586363636000002</c:v>
                </c:pt>
                <c:pt idx="297">
                  <c:v>-43.495454545000001</c:v>
                </c:pt>
                <c:pt idx="298">
                  <c:v>-39.404545455000004</c:v>
                </c:pt>
                <c:pt idx="299">
                  <c:v>-35.313636364000004</c:v>
                </c:pt>
                <c:pt idx="300">
                  <c:v>-31.222727273000004</c:v>
                </c:pt>
                <c:pt idx="301">
                  <c:v>-27.131818182000004</c:v>
                </c:pt>
                <c:pt idx="302">
                  <c:v>-23.040909091000003</c:v>
                </c:pt>
                <c:pt idx="303">
                  <c:v>-18.950000000000003</c:v>
                </c:pt>
                <c:pt idx="304">
                  <c:v>-14.859090909000003</c:v>
                </c:pt>
                <c:pt idx="305">
                  <c:v>-10.768181818000002</c:v>
                </c:pt>
                <c:pt idx="306">
                  <c:v>-6.6772727270000019</c:v>
                </c:pt>
                <c:pt idx="307">
                  <c:v>-2.5863636360000015</c:v>
                </c:pt>
                <c:pt idx="308">
                  <c:v>1.5045454549999988</c:v>
                </c:pt>
                <c:pt idx="309">
                  <c:v>5.5954545449999955</c:v>
                </c:pt>
                <c:pt idx="310">
                  <c:v>9.6863636359999958</c:v>
                </c:pt>
                <c:pt idx="311">
                  <c:v>13.777272726999996</c:v>
                </c:pt>
                <c:pt idx="312">
                  <c:v>17.868181817999996</c:v>
                </c:pt>
                <c:pt idx="313">
                  <c:v>21.959090908999997</c:v>
                </c:pt>
                <c:pt idx="314">
                  <c:v>26.049999999999997</c:v>
                </c:pt>
                <c:pt idx="315">
                  <c:v>26.050000000000011</c:v>
                </c:pt>
                <c:pt idx="316">
                  <c:v>30.140909090999997</c:v>
                </c:pt>
                <c:pt idx="317">
                  <c:v>34.231818181999984</c:v>
                </c:pt>
                <c:pt idx="318">
                  <c:v>38.322727272999998</c:v>
                </c:pt>
                <c:pt idx="319">
                  <c:v>42.413636364000013</c:v>
                </c:pt>
                <c:pt idx="320">
                  <c:v>46.504545454999999</c:v>
                </c:pt>
                <c:pt idx="321">
                  <c:v>50.595454544999996</c:v>
                </c:pt>
                <c:pt idx="322">
                  <c:v>54.686363635999996</c:v>
                </c:pt>
                <c:pt idx="323">
                  <c:v>58.777272726999996</c:v>
                </c:pt>
                <c:pt idx="324">
                  <c:v>62.868181817999996</c:v>
                </c:pt>
                <c:pt idx="325">
                  <c:v>66.959090908999997</c:v>
                </c:pt>
                <c:pt idx="326">
                  <c:v>71.05</c:v>
                </c:pt>
                <c:pt idx="327">
                  <c:v>75.140909090999997</c:v>
                </c:pt>
                <c:pt idx="328">
                  <c:v>79.231818181999998</c:v>
                </c:pt>
                <c:pt idx="329">
                  <c:v>83.322727272999998</c:v>
                </c:pt>
                <c:pt idx="330">
                  <c:v>87.413636363999998</c:v>
                </c:pt>
                <c:pt idx="331">
                  <c:v>-88.495454545000001</c:v>
                </c:pt>
                <c:pt idx="332">
                  <c:v>-84.404545455000004</c:v>
                </c:pt>
                <c:pt idx="333">
                  <c:v>-80.313636364000004</c:v>
                </c:pt>
                <c:pt idx="334">
                  <c:v>-76.222727273000004</c:v>
                </c:pt>
                <c:pt idx="335">
                  <c:v>-72.131818182000004</c:v>
                </c:pt>
                <c:pt idx="336">
                  <c:v>-68.040909091000003</c:v>
                </c:pt>
                <c:pt idx="337">
                  <c:v>-63.95</c:v>
                </c:pt>
                <c:pt idx="338">
                  <c:v>-59.859090909000003</c:v>
                </c:pt>
                <c:pt idx="339">
                  <c:v>-55.768181818000002</c:v>
                </c:pt>
                <c:pt idx="340">
                  <c:v>-51.677272727000002</c:v>
                </c:pt>
                <c:pt idx="341">
                  <c:v>-47.586363636000002</c:v>
                </c:pt>
                <c:pt idx="342">
                  <c:v>-43.495454545000001</c:v>
                </c:pt>
                <c:pt idx="343">
                  <c:v>-39.404545455000004</c:v>
                </c:pt>
                <c:pt idx="344">
                  <c:v>-35.313636364000004</c:v>
                </c:pt>
                <c:pt idx="345">
                  <c:v>-31.222727273000004</c:v>
                </c:pt>
                <c:pt idx="346">
                  <c:v>-27.131818182000004</c:v>
                </c:pt>
                <c:pt idx="347">
                  <c:v>-23.040909091000003</c:v>
                </c:pt>
                <c:pt idx="348">
                  <c:v>-18.950000000000003</c:v>
                </c:pt>
                <c:pt idx="349">
                  <c:v>-14.859090909000003</c:v>
                </c:pt>
                <c:pt idx="350">
                  <c:v>-10.768181818000002</c:v>
                </c:pt>
                <c:pt idx="351">
                  <c:v>-6.6772727270000019</c:v>
                </c:pt>
                <c:pt idx="352">
                  <c:v>-2.5863636360000015</c:v>
                </c:pt>
                <c:pt idx="353">
                  <c:v>1.5045454549999988</c:v>
                </c:pt>
                <c:pt idx="354">
                  <c:v>5.5954545449999955</c:v>
                </c:pt>
                <c:pt idx="355">
                  <c:v>9.6863636359999958</c:v>
                </c:pt>
                <c:pt idx="356">
                  <c:v>13.777272726999996</c:v>
                </c:pt>
                <c:pt idx="357">
                  <c:v>17.868181817999996</c:v>
                </c:pt>
                <c:pt idx="358">
                  <c:v>21.959090908999997</c:v>
                </c:pt>
                <c:pt idx="359">
                  <c:v>26.049999999999997</c:v>
                </c:pt>
              </c:numCache>
            </c:numRef>
          </c:xVal>
          <c:yVal>
            <c:numRef>
              <c:f>CTR!$G$7:$G$366</c:f>
              <c:numCache>
                <c:formatCode>0.0000000</c:formatCode>
                <c:ptCount val="360"/>
                <c:pt idx="0">
                  <c:v>1.0921370999999999E-2</c:v>
                </c:pt>
                <c:pt idx="1">
                  <c:v>8.1389770000000004E-3</c:v>
                </c:pt>
                <c:pt idx="2">
                  <c:v>6.9660240000000003E-3</c:v>
                </c:pt>
                <c:pt idx="3">
                  <c:v>5.7411440000000001E-3</c:v>
                </c:pt>
                <c:pt idx="4">
                  <c:v>4.9751400000000003E-3</c:v>
                </c:pt>
                <c:pt idx="5">
                  <c:v>4.466785E-3</c:v>
                </c:pt>
                <c:pt idx="6">
                  <c:v>4.0896830000000002E-3</c:v>
                </c:pt>
                <c:pt idx="7">
                  <c:v>3.846323E-3</c:v>
                </c:pt>
                <c:pt idx="8">
                  <c:v>3.6951050000000002E-3</c:v>
                </c:pt>
                <c:pt idx="9">
                  <c:v>3.5071730000000001E-3</c:v>
                </c:pt>
                <c:pt idx="10">
                  <c:v>3.3902569999999998E-3</c:v>
                </c:pt>
                <c:pt idx="11">
                  <c:v>3.4346440000000002E-3</c:v>
                </c:pt>
                <c:pt idx="12">
                  <c:v>3.3947769999999999E-3</c:v>
                </c:pt>
                <c:pt idx="13">
                  <c:v>3.3907870000000001E-3</c:v>
                </c:pt>
                <c:pt idx="14">
                  <c:v>3.4801110000000001E-3</c:v>
                </c:pt>
                <c:pt idx="15">
                  <c:v>3.4354170000000001E-3</c:v>
                </c:pt>
                <c:pt idx="16">
                  <c:v>3.4955239999999999E-3</c:v>
                </c:pt>
                <c:pt idx="17">
                  <c:v>3.6795489999999998E-3</c:v>
                </c:pt>
                <c:pt idx="18">
                  <c:v>3.8385329999999999E-3</c:v>
                </c:pt>
                <c:pt idx="19">
                  <c:v>3.8385950000000002E-3</c:v>
                </c:pt>
                <c:pt idx="20">
                  <c:v>4.0789880000000004E-3</c:v>
                </c:pt>
                <c:pt idx="21">
                  <c:v>4.3260900000000003E-3</c:v>
                </c:pt>
                <c:pt idx="22">
                  <c:v>4.8024900000000004E-3</c:v>
                </c:pt>
                <c:pt idx="23">
                  <c:v>5.3200360000000002E-3</c:v>
                </c:pt>
                <c:pt idx="24">
                  <c:v>5.7345870000000002E-3</c:v>
                </c:pt>
                <c:pt idx="25">
                  <c:v>5.9887200000000003E-3</c:v>
                </c:pt>
                <c:pt idx="26">
                  <c:v>6.2858089999999998E-3</c:v>
                </c:pt>
                <c:pt idx="27">
                  <c:v>7.2921649999999998E-3</c:v>
                </c:pt>
                <c:pt idx="28">
                  <c:v>8.6001540000000005E-3</c:v>
                </c:pt>
                <c:pt idx="29">
                  <c:v>1.03003E-2</c:v>
                </c:pt>
                <c:pt idx="30">
                  <c:v>1.2624122999999999E-2</c:v>
                </c:pt>
                <c:pt idx="31">
                  <c:v>1.9144543E-2</c:v>
                </c:pt>
                <c:pt idx="32">
                  <c:v>3.2287082000000002E-2</c:v>
                </c:pt>
                <c:pt idx="33">
                  <c:v>6.4786567000000003E-2</c:v>
                </c:pt>
                <c:pt idx="34">
                  <c:v>7.6843648000000001E-2</c:v>
                </c:pt>
                <c:pt idx="35">
                  <c:v>0.101981498</c:v>
                </c:pt>
                <c:pt idx="36">
                  <c:v>0.11193125800000001</c:v>
                </c:pt>
                <c:pt idx="37">
                  <c:v>9.5897205999999999E-2</c:v>
                </c:pt>
                <c:pt idx="38">
                  <c:v>0.106758318</c:v>
                </c:pt>
                <c:pt idx="39">
                  <c:v>8.2877848000000004E-2</c:v>
                </c:pt>
                <c:pt idx="40">
                  <c:v>4.5435296999999999E-2</c:v>
                </c:pt>
                <c:pt idx="41">
                  <c:v>3.9624340000000001E-2</c:v>
                </c:pt>
                <c:pt idx="42">
                  <c:v>2.8878088999999999E-2</c:v>
                </c:pt>
                <c:pt idx="43">
                  <c:v>1.5553549E-2</c:v>
                </c:pt>
                <c:pt idx="44">
                  <c:v>1.0921370999999999E-2</c:v>
                </c:pt>
                <c:pt idx="45">
                  <c:v>1.7130197E-2</c:v>
                </c:pt>
                <c:pt idx="46">
                  <c:v>1.5026975999999999E-2</c:v>
                </c:pt>
                <c:pt idx="47">
                  <c:v>1.2437902000000001E-2</c:v>
                </c:pt>
                <c:pt idx="48">
                  <c:v>1.0783101E-2</c:v>
                </c:pt>
                <c:pt idx="49">
                  <c:v>9.5190029999999998E-3</c:v>
                </c:pt>
                <c:pt idx="50">
                  <c:v>8.8950509999999993E-3</c:v>
                </c:pt>
                <c:pt idx="51">
                  <c:v>8.3805330000000008E-3</c:v>
                </c:pt>
                <c:pt idx="52">
                  <c:v>8.1934E-3</c:v>
                </c:pt>
                <c:pt idx="53">
                  <c:v>7.6983149999999998E-3</c:v>
                </c:pt>
                <c:pt idx="54">
                  <c:v>7.3915200000000004E-3</c:v>
                </c:pt>
                <c:pt idx="55">
                  <c:v>6.8604649999999996E-3</c:v>
                </c:pt>
                <c:pt idx="56">
                  <c:v>6.723906E-3</c:v>
                </c:pt>
                <c:pt idx="57">
                  <c:v>6.3392930000000002E-3</c:v>
                </c:pt>
                <c:pt idx="58">
                  <c:v>6.3803250000000001E-3</c:v>
                </c:pt>
                <c:pt idx="59">
                  <c:v>6.2736279999999998E-3</c:v>
                </c:pt>
                <c:pt idx="60">
                  <c:v>6.3505339999999997E-3</c:v>
                </c:pt>
                <c:pt idx="61">
                  <c:v>6.631746E-3</c:v>
                </c:pt>
                <c:pt idx="62">
                  <c:v>6.6290699999999999E-3</c:v>
                </c:pt>
                <c:pt idx="63">
                  <c:v>6.536104E-3</c:v>
                </c:pt>
                <c:pt idx="64">
                  <c:v>6.6992889999999998E-3</c:v>
                </c:pt>
                <c:pt idx="65">
                  <c:v>7.3022479999999999E-3</c:v>
                </c:pt>
                <c:pt idx="66">
                  <c:v>7.645018E-3</c:v>
                </c:pt>
                <c:pt idx="67">
                  <c:v>8.2707270000000003E-3</c:v>
                </c:pt>
                <c:pt idx="68">
                  <c:v>8.2664109999999996E-3</c:v>
                </c:pt>
                <c:pt idx="69">
                  <c:v>7.8904119999999994E-3</c:v>
                </c:pt>
                <c:pt idx="70">
                  <c:v>8.0703170000000005E-3</c:v>
                </c:pt>
                <c:pt idx="71">
                  <c:v>8.7298989999999993E-3</c:v>
                </c:pt>
                <c:pt idx="72">
                  <c:v>1.0051266E-2</c:v>
                </c:pt>
                <c:pt idx="73">
                  <c:v>1.1348331E-2</c:v>
                </c:pt>
                <c:pt idx="74">
                  <c:v>1.3375000999999999E-2</c:v>
                </c:pt>
                <c:pt idx="75">
                  <c:v>1.5726866999999999E-2</c:v>
                </c:pt>
                <c:pt idx="76">
                  <c:v>1.6628252E-2</c:v>
                </c:pt>
                <c:pt idx="77">
                  <c:v>2.1497082000000001E-2</c:v>
                </c:pt>
                <c:pt idx="78">
                  <c:v>3.2823933999999999E-2</c:v>
                </c:pt>
                <c:pt idx="79">
                  <c:v>4.6325527999999998E-2</c:v>
                </c:pt>
                <c:pt idx="80">
                  <c:v>8.2574947999999995E-2</c:v>
                </c:pt>
                <c:pt idx="81">
                  <c:v>8.0653053000000002E-2</c:v>
                </c:pt>
                <c:pt idx="82">
                  <c:v>6.5005685999999993E-2</c:v>
                </c:pt>
                <c:pt idx="83">
                  <c:v>8.0175894999999997E-2</c:v>
                </c:pt>
                <c:pt idx="84">
                  <c:v>0.112591262</c:v>
                </c:pt>
                <c:pt idx="85">
                  <c:v>7.2928813999999995E-2</c:v>
                </c:pt>
                <c:pt idx="86">
                  <c:v>4.5516266999999999E-2</c:v>
                </c:pt>
                <c:pt idx="87">
                  <c:v>2.891065E-2</c:v>
                </c:pt>
                <c:pt idx="88">
                  <c:v>1.9681575E-2</c:v>
                </c:pt>
                <c:pt idx="89">
                  <c:v>1.7130197E-2</c:v>
                </c:pt>
                <c:pt idx="90">
                  <c:v>1.2276624999999999E-2</c:v>
                </c:pt>
                <c:pt idx="91">
                  <c:v>9.3732120000000006E-3</c:v>
                </c:pt>
                <c:pt idx="92">
                  <c:v>7.9871909999999994E-3</c:v>
                </c:pt>
                <c:pt idx="93">
                  <c:v>7.3750559999999996E-3</c:v>
                </c:pt>
                <c:pt idx="94">
                  <c:v>6.5227779999999999E-3</c:v>
                </c:pt>
                <c:pt idx="95">
                  <c:v>6.0969049999999997E-3</c:v>
                </c:pt>
                <c:pt idx="96">
                  <c:v>5.9392949999999998E-3</c:v>
                </c:pt>
                <c:pt idx="97">
                  <c:v>5.4896279999999999E-3</c:v>
                </c:pt>
                <c:pt idx="98">
                  <c:v>5.1648350000000004E-3</c:v>
                </c:pt>
                <c:pt idx="99">
                  <c:v>5.3631470000000004E-3</c:v>
                </c:pt>
                <c:pt idx="100">
                  <c:v>5.1754219999999998E-3</c:v>
                </c:pt>
                <c:pt idx="101">
                  <c:v>5.3144919999999997E-3</c:v>
                </c:pt>
                <c:pt idx="102">
                  <c:v>5.0347810000000003E-3</c:v>
                </c:pt>
                <c:pt idx="103">
                  <c:v>4.929966E-3</c:v>
                </c:pt>
                <c:pt idx="104">
                  <c:v>4.8248029999999999E-3</c:v>
                </c:pt>
                <c:pt idx="105">
                  <c:v>5.0256010000000002E-3</c:v>
                </c:pt>
                <c:pt idx="106">
                  <c:v>5.3064519999999997E-3</c:v>
                </c:pt>
                <c:pt idx="107">
                  <c:v>5.2426219999999997E-3</c:v>
                </c:pt>
                <c:pt idx="108">
                  <c:v>5.2630810000000002E-3</c:v>
                </c:pt>
                <c:pt idx="109">
                  <c:v>5.3502360000000004E-3</c:v>
                </c:pt>
                <c:pt idx="110">
                  <c:v>5.6904959999999997E-3</c:v>
                </c:pt>
                <c:pt idx="111">
                  <c:v>6.0138809999999996E-3</c:v>
                </c:pt>
                <c:pt idx="112">
                  <c:v>5.9834989999999998E-3</c:v>
                </c:pt>
                <c:pt idx="113">
                  <c:v>6.2180389999999999E-3</c:v>
                </c:pt>
                <c:pt idx="114">
                  <c:v>6.4121680000000002E-3</c:v>
                </c:pt>
                <c:pt idx="115">
                  <c:v>6.490081E-3</c:v>
                </c:pt>
                <c:pt idx="116">
                  <c:v>6.9820539999999997E-3</c:v>
                </c:pt>
                <c:pt idx="117">
                  <c:v>8.3901210000000004E-3</c:v>
                </c:pt>
                <c:pt idx="118">
                  <c:v>9.3191390000000006E-3</c:v>
                </c:pt>
                <c:pt idx="119">
                  <c:v>1.1611023E-2</c:v>
                </c:pt>
                <c:pt idx="120">
                  <c:v>1.4512982000000001E-2</c:v>
                </c:pt>
                <c:pt idx="121">
                  <c:v>1.9581983000000001E-2</c:v>
                </c:pt>
                <c:pt idx="122">
                  <c:v>2.5497596000000001E-2</c:v>
                </c:pt>
                <c:pt idx="123">
                  <c:v>3.9572431999999998E-2</c:v>
                </c:pt>
                <c:pt idx="124">
                  <c:v>7.6357481000000005E-2</c:v>
                </c:pt>
                <c:pt idx="125">
                  <c:v>0.11082049200000001</c:v>
                </c:pt>
                <c:pt idx="126">
                  <c:v>9.8653658000000005E-2</c:v>
                </c:pt>
                <c:pt idx="127">
                  <c:v>6.8612113000000002E-2</c:v>
                </c:pt>
                <c:pt idx="128">
                  <c:v>6.1825368999999998E-2</c:v>
                </c:pt>
                <c:pt idx="129">
                  <c:v>0.12029479899999999</c:v>
                </c:pt>
                <c:pt idx="130">
                  <c:v>8.1519386999999999E-2</c:v>
                </c:pt>
                <c:pt idx="131">
                  <c:v>3.7977878999999999E-2</c:v>
                </c:pt>
                <c:pt idx="132">
                  <c:v>2.1826867999999999E-2</c:v>
                </c:pt>
                <c:pt idx="133">
                  <c:v>1.4503706E-2</c:v>
                </c:pt>
                <c:pt idx="134">
                  <c:v>1.2276624999999999E-2</c:v>
                </c:pt>
                <c:pt idx="135">
                  <c:v>1.3740356E-2</c:v>
                </c:pt>
                <c:pt idx="136">
                  <c:v>8.9701859999999998E-3</c:v>
                </c:pt>
                <c:pt idx="137">
                  <c:v>7.8477870000000002E-3</c:v>
                </c:pt>
                <c:pt idx="138">
                  <c:v>6.8642419999999996E-3</c:v>
                </c:pt>
                <c:pt idx="139">
                  <c:v>5.9440109999999999E-3</c:v>
                </c:pt>
                <c:pt idx="140">
                  <c:v>5.960333E-3</c:v>
                </c:pt>
                <c:pt idx="141">
                  <c:v>5.6498920000000001E-3</c:v>
                </c:pt>
                <c:pt idx="142">
                  <c:v>5.1845720000000001E-3</c:v>
                </c:pt>
                <c:pt idx="143">
                  <c:v>5.234753E-3</c:v>
                </c:pt>
                <c:pt idx="144">
                  <c:v>5.0918229999999997E-3</c:v>
                </c:pt>
                <c:pt idx="145">
                  <c:v>4.879736E-3</c:v>
                </c:pt>
                <c:pt idx="146">
                  <c:v>5.5087010000000004E-3</c:v>
                </c:pt>
                <c:pt idx="147">
                  <c:v>4.7944789999999999E-3</c:v>
                </c:pt>
                <c:pt idx="148">
                  <c:v>5.0261220000000001E-3</c:v>
                </c:pt>
                <c:pt idx="149">
                  <c:v>4.5936670000000001E-3</c:v>
                </c:pt>
                <c:pt idx="150">
                  <c:v>4.4990289999999999E-3</c:v>
                </c:pt>
                <c:pt idx="151">
                  <c:v>4.5053990000000002E-3</c:v>
                </c:pt>
                <c:pt idx="152">
                  <c:v>4.7142190000000004E-3</c:v>
                </c:pt>
                <c:pt idx="153">
                  <c:v>4.7151129999999999E-3</c:v>
                </c:pt>
                <c:pt idx="154">
                  <c:v>4.9255640000000003E-3</c:v>
                </c:pt>
                <c:pt idx="155">
                  <c:v>5.1376199999999999E-3</c:v>
                </c:pt>
                <c:pt idx="156">
                  <c:v>5.5240139999999998E-3</c:v>
                </c:pt>
                <c:pt idx="157">
                  <c:v>5.973417E-3</c:v>
                </c:pt>
                <c:pt idx="158">
                  <c:v>5.8501270000000001E-3</c:v>
                </c:pt>
                <c:pt idx="159">
                  <c:v>5.7506600000000003E-3</c:v>
                </c:pt>
                <c:pt idx="160">
                  <c:v>5.69054E-3</c:v>
                </c:pt>
                <c:pt idx="161">
                  <c:v>5.9892160000000003E-3</c:v>
                </c:pt>
                <c:pt idx="162">
                  <c:v>7.0842040000000002E-3</c:v>
                </c:pt>
                <c:pt idx="163">
                  <c:v>7.2475719999999999E-3</c:v>
                </c:pt>
                <c:pt idx="164">
                  <c:v>9.2099940000000009E-3</c:v>
                </c:pt>
                <c:pt idx="165">
                  <c:v>1.1706225000000001E-2</c:v>
                </c:pt>
                <c:pt idx="166">
                  <c:v>1.7354748999999999E-2</c:v>
                </c:pt>
                <c:pt idx="167">
                  <c:v>2.0845523000000001E-2</c:v>
                </c:pt>
                <c:pt idx="168">
                  <c:v>4.1771524999999997E-2</c:v>
                </c:pt>
                <c:pt idx="169">
                  <c:v>8.3517283999999997E-2</c:v>
                </c:pt>
                <c:pt idx="170">
                  <c:v>0.15621211199999999</c:v>
                </c:pt>
                <c:pt idx="171">
                  <c:v>0.12555512699999999</c:v>
                </c:pt>
                <c:pt idx="172">
                  <c:v>6.3397727000000001E-2</c:v>
                </c:pt>
                <c:pt idx="173">
                  <c:v>5.4007714999999998E-2</c:v>
                </c:pt>
                <c:pt idx="174">
                  <c:v>8.1699952000000006E-2</c:v>
                </c:pt>
                <c:pt idx="175">
                  <c:v>8.5295353000000004E-2</c:v>
                </c:pt>
                <c:pt idx="176">
                  <c:v>3.0022159999999999E-2</c:v>
                </c:pt>
                <c:pt idx="177">
                  <c:v>1.9318971000000001E-2</c:v>
                </c:pt>
                <c:pt idx="178">
                  <c:v>1.3447877E-2</c:v>
                </c:pt>
                <c:pt idx="179">
                  <c:v>1.3740356E-2</c:v>
                </c:pt>
                <c:pt idx="180">
                  <c:v>1.1009075E-2</c:v>
                </c:pt>
                <c:pt idx="181">
                  <c:v>8.6234620000000001E-3</c:v>
                </c:pt>
                <c:pt idx="182">
                  <c:v>7.3105779999999999E-3</c:v>
                </c:pt>
                <c:pt idx="183">
                  <c:v>6.9103039999999999E-3</c:v>
                </c:pt>
                <c:pt idx="184">
                  <c:v>6.1263480000000002E-3</c:v>
                </c:pt>
                <c:pt idx="185">
                  <c:v>5.5736919999999999E-3</c:v>
                </c:pt>
                <c:pt idx="186">
                  <c:v>5.5071620000000003E-3</c:v>
                </c:pt>
                <c:pt idx="187">
                  <c:v>5.224561E-3</c:v>
                </c:pt>
                <c:pt idx="188">
                  <c:v>5.1716380000000001E-3</c:v>
                </c:pt>
                <c:pt idx="189">
                  <c:v>4.9762840000000001E-3</c:v>
                </c:pt>
                <c:pt idx="190">
                  <c:v>4.7789080000000001E-3</c:v>
                </c:pt>
                <c:pt idx="191">
                  <c:v>4.7886589999999998E-3</c:v>
                </c:pt>
                <c:pt idx="192">
                  <c:v>4.5918799999999996E-3</c:v>
                </c:pt>
                <c:pt idx="193">
                  <c:v>4.5947430000000001E-3</c:v>
                </c:pt>
                <c:pt idx="194">
                  <c:v>4.4386770000000002E-3</c:v>
                </c:pt>
                <c:pt idx="195">
                  <c:v>4.6631470000000003E-3</c:v>
                </c:pt>
                <c:pt idx="196">
                  <c:v>4.6935950000000001E-3</c:v>
                </c:pt>
                <c:pt idx="197">
                  <c:v>5.075174E-3</c:v>
                </c:pt>
                <c:pt idx="198">
                  <c:v>4.9332250000000003E-3</c:v>
                </c:pt>
                <c:pt idx="199">
                  <c:v>5.1361449999999999E-3</c:v>
                </c:pt>
                <c:pt idx="200">
                  <c:v>5.0849069999999996E-3</c:v>
                </c:pt>
                <c:pt idx="201">
                  <c:v>5.2266200000000004E-3</c:v>
                </c:pt>
                <c:pt idx="202">
                  <c:v>5.8896469999999996E-3</c:v>
                </c:pt>
                <c:pt idx="203">
                  <c:v>5.992537E-3</c:v>
                </c:pt>
                <c:pt idx="204">
                  <c:v>6.134703E-3</c:v>
                </c:pt>
                <c:pt idx="205">
                  <c:v>6.6362790000000001E-3</c:v>
                </c:pt>
                <c:pt idx="206">
                  <c:v>6.9885069999999997E-3</c:v>
                </c:pt>
                <c:pt idx="207">
                  <c:v>8.6871580000000004E-3</c:v>
                </c:pt>
                <c:pt idx="208">
                  <c:v>9.167962E-3</c:v>
                </c:pt>
                <c:pt idx="209">
                  <c:v>1.0693314000000001E-2</c:v>
                </c:pt>
                <c:pt idx="210">
                  <c:v>1.4860979E-2</c:v>
                </c:pt>
                <c:pt idx="211">
                  <c:v>2.4575310999999999E-2</c:v>
                </c:pt>
                <c:pt idx="212">
                  <c:v>3.5055773999999998E-2</c:v>
                </c:pt>
                <c:pt idx="213">
                  <c:v>5.9493794000000003E-2</c:v>
                </c:pt>
                <c:pt idx="214">
                  <c:v>9.5633953999999993E-2</c:v>
                </c:pt>
                <c:pt idx="215">
                  <c:v>0.134743378</c:v>
                </c:pt>
                <c:pt idx="216">
                  <c:v>0.11649393299999999</c:v>
                </c:pt>
                <c:pt idx="217">
                  <c:v>8.8079038999999998E-2</c:v>
                </c:pt>
                <c:pt idx="218">
                  <c:v>5.8978474000000003E-2</c:v>
                </c:pt>
                <c:pt idx="219">
                  <c:v>5.7143590000000001E-2</c:v>
                </c:pt>
                <c:pt idx="220">
                  <c:v>5.5313473000000002E-2</c:v>
                </c:pt>
                <c:pt idx="221">
                  <c:v>3.1874876000000003E-2</c:v>
                </c:pt>
                <c:pt idx="222">
                  <c:v>1.9710333E-2</c:v>
                </c:pt>
                <c:pt idx="223">
                  <c:v>1.2405126000000001E-2</c:v>
                </c:pt>
                <c:pt idx="224">
                  <c:v>1.1009075E-2</c:v>
                </c:pt>
                <c:pt idx="225">
                  <c:v>1.5767026999999999E-2</c:v>
                </c:pt>
                <c:pt idx="226">
                  <c:v>1.1967787000000001E-2</c:v>
                </c:pt>
                <c:pt idx="227">
                  <c:v>1.2658971999999999E-2</c:v>
                </c:pt>
                <c:pt idx="228">
                  <c:v>1.1136495999999999E-2</c:v>
                </c:pt>
                <c:pt idx="229">
                  <c:v>1.0153489E-2</c:v>
                </c:pt>
                <c:pt idx="230">
                  <c:v>9.9641959999999998E-3</c:v>
                </c:pt>
                <c:pt idx="231">
                  <c:v>9.6607150000000003E-3</c:v>
                </c:pt>
                <c:pt idx="232">
                  <c:v>9.0178919999999996E-3</c:v>
                </c:pt>
                <c:pt idx="233">
                  <c:v>8.3940899999999999E-3</c:v>
                </c:pt>
                <c:pt idx="234">
                  <c:v>8.7910000000000002E-3</c:v>
                </c:pt>
                <c:pt idx="235">
                  <c:v>8.0051180000000003E-3</c:v>
                </c:pt>
                <c:pt idx="236">
                  <c:v>8.0509680000000004E-3</c:v>
                </c:pt>
                <c:pt idx="237">
                  <c:v>7.6829639999999996E-3</c:v>
                </c:pt>
                <c:pt idx="238">
                  <c:v>8.0746069999999993E-3</c:v>
                </c:pt>
                <c:pt idx="239">
                  <c:v>7.7627E-3</c:v>
                </c:pt>
                <c:pt idx="240">
                  <c:v>7.8782260000000003E-3</c:v>
                </c:pt>
                <c:pt idx="241">
                  <c:v>8.1777470000000008E-3</c:v>
                </c:pt>
                <c:pt idx="242">
                  <c:v>8.2633570000000007E-3</c:v>
                </c:pt>
                <c:pt idx="243">
                  <c:v>8.5658420000000006E-3</c:v>
                </c:pt>
                <c:pt idx="244">
                  <c:v>8.6080010000000005E-3</c:v>
                </c:pt>
                <c:pt idx="245">
                  <c:v>9.2109889999999993E-3</c:v>
                </c:pt>
                <c:pt idx="246">
                  <c:v>8.6667180000000003E-3</c:v>
                </c:pt>
                <c:pt idx="247">
                  <c:v>9.6156260000000004E-3</c:v>
                </c:pt>
                <c:pt idx="248">
                  <c:v>9.5819500000000005E-3</c:v>
                </c:pt>
                <c:pt idx="249">
                  <c:v>1.200129E-2</c:v>
                </c:pt>
                <c:pt idx="250">
                  <c:v>1.3601237E-2</c:v>
                </c:pt>
                <c:pt idx="251">
                  <c:v>1.6762404000000002E-2</c:v>
                </c:pt>
                <c:pt idx="252">
                  <c:v>1.9166326000000001E-2</c:v>
                </c:pt>
                <c:pt idx="253">
                  <c:v>2.1770607000000001E-2</c:v>
                </c:pt>
                <c:pt idx="254">
                  <c:v>2.48214E-2</c:v>
                </c:pt>
                <c:pt idx="255">
                  <c:v>3.1991565E-2</c:v>
                </c:pt>
                <c:pt idx="256">
                  <c:v>3.7092734000000002E-2</c:v>
                </c:pt>
                <c:pt idx="257">
                  <c:v>2.8252757999999999E-2</c:v>
                </c:pt>
                <c:pt idx="258">
                  <c:v>3.4505887999999998E-2</c:v>
                </c:pt>
                <c:pt idx="259">
                  <c:v>4.4523545999999997E-2</c:v>
                </c:pt>
                <c:pt idx="260">
                  <c:v>7.9959010999999997E-2</c:v>
                </c:pt>
                <c:pt idx="261">
                  <c:v>8.0382199000000001E-2</c:v>
                </c:pt>
                <c:pt idx="262">
                  <c:v>7.1628504999999995E-2</c:v>
                </c:pt>
                <c:pt idx="263">
                  <c:v>5.4505443000000001E-2</c:v>
                </c:pt>
                <c:pt idx="264">
                  <c:v>5.2883347999999997E-2</c:v>
                </c:pt>
                <c:pt idx="265">
                  <c:v>5.6185143999999999E-2</c:v>
                </c:pt>
                <c:pt idx="266">
                  <c:v>3.9756775000000001E-2</c:v>
                </c:pt>
                <c:pt idx="267">
                  <c:v>2.3180248000000001E-2</c:v>
                </c:pt>
                <c:pt idx="268">
                  <c:v>1.560607E-2</c:v>
                </c:pt>
                <c:pt idx="269">
                  <c:v>1.5767026999999999E-2</c:v>
                </c:pt>
                <c:pt idx="270">
                  <c:v>1.9638862999999999E-2</c:v>
                </c:pt>
                <c:pt idx="271">
                  <c:v>1.3641812E-2</c:v>
                </c:pt>
                <c:pt idx="272">
                  <c:v>1.3885534999999999E-2</c:v>
                </c:pt>
                <c:pt idx="273">
                  <c:v>1.4076915000000001E-2</c:v>
                </c:pt>
                <c:pt idx="274">
                  <c:v>1.2575486E-2</c:v>
                </c:pt>
                <c:pt idx="275">
                  <c:v>1.0867501999999999E-2</c:v>
                </c:pt>
                <c:pt idx="276">
                  <c:v>9.8095019999999995E-3</c:v>
                </c:pt>
                <c:pt idx="277">
                  <c:v>9.3757010000000002E-3</c:v>
                </c:pt>
                <c:pt idx="278">
                  <c:v>8.6352860000000007E-3</c:v>
                </c:pt>
                <c:pt idx="279">
                  <c:v>8.3729870000000001E-3</c:v>
                </c:pt>
                <c:pt idx="280">
                  <c:v>8.1462989999999992E-3</c:v>
                </c:pt>
                <c:pt idx="281">
                  <c:v>9.0379780000000003E-3</c:v>
                </c:pt>
                <c:pt idx="282">
                  <c:v>8.9016789999999991E-3</c:v>
                </c:pt>
                <c:pt idx="283">
                  <c:v>9.1213809999999996E-3</c:v>
                </c:pt>
                <c:pt idx="284">
                  <c:v>8.4832629999999996E-3</c:v>
                </c:pt>
                <c:pt idx="285">
                  <c:v>7.6152160000000002E-3</c:v>
                </c:pt>
                <c:pt idx="286">
                  <c:v>7.1439720000000002E-3</c:v>
                </c:pt>
                <c:pt idx="287">
                  <c:v>7.1256100000000001E-3</c:v>
                </c:pt>
                <c:pt idx="288">
                  <c:v>7.919855E-3</c:v>
                </c:pt>
                <c:pt idx="289">
                  <c:v>7.088273E-3</c:v>
                </c:pt>
                <c:pt idx="290">
                  <c:v>8.136384E-3</c:v>
                </c:pt>
                <c:pt idx="291">
                  <c:v>7.6659789999999998E-3</c:v>
                </c:pt>
                <c:pt idx="292">
                  <c:v>1.0231539E-2</c:v>
                </c:pt>
                <c:pt idx="293">
                  <c:v>8.7080679999999994E-3</c:v>
                </c:pt>
                <c:pt idx="294">
                  <c:v>9.2464509999999993E-3</c:v>
                </c:pt>
                <c:pt idx="295">
                  <c:v>1.0118026E-2</c:v>
                </c:pt>
                <c:pt idx="296">
                  <c:v>1.0248835E-2</c:v>
                </c:pt>
                <c:pt idx="297">
                  <c:v>1.2204036E-2</c:v>
                </c:pt>
                <c:pt idx="298">
                  <c:v>1.4618696E-2</c:v>
                </c:pt>
                <c:pt idx="299">
                  <c:v>1.7431393E-2</c:v>
                </c:pt>
                <c:pt idx="300">
                  <c:v>2.4931182999999999E-2</c:v>
                </c:pt>
                <c:pt idx="301">
                  <c:v>2.9164414E-2</c:v>
                </c:pt>
                <c:pt idx="302">
                  <c:v>2.8813465999999999E-2</c:v>
                </c:pt>
                <c:pt idx="303">
                  <c:v>3.6961528E-2</c:v>
                </c:pt>
                <c:pt idx="304">
                  <c:v>5.0696552999999998E-2</c:v>
                </c:pt>
                <c:pt idx="305">
                  <c:v>6.3274271000000007E-2</c:v>
                </c:pt>
                <c:pt idx="306">
                  <c:v>5.2303014000000002E-2</c:v>
                </c:pt>
                <c:pt idx="307">
                  <c:v>6.4197457999999999E-2</c:v>
                </c:pt>
                <c:pt idx="308">
                  <c:v>6.1460327000000002E-2</c:v>
                </c:pt>
                <c:pt idx="309">
                  <c:v>6.0391407000000001E-2</c:v>
                </c:pt>
                <c:pt idx="310">
                  <c:v>7.7929904999999994E-2</c:v>
                </c:pt>
                <c:pt idx="311">
                  <c:v>6.1988369000000001E-2</c:v>
                </c:pt>
                <c:pt idx="312">
                  <c:v>3.7747430999999998E-2</c:v>
                </c:pt>
                <c:pt idx="313">
                  <c:v>2.0429288E-2</c:v>
                </c:pt>
                <c:pt idx="314">
                  <c:v>1.9638862999999999E-2</c:v>
                </c:pt>
                <c:pt idx="315">
                  <c:v>2.1949561999999999E-2</c:v>
                </c:pt>
                <c:pt idx="316">
                  <c:v>1.6949414999999999E-2</c:v>
                </c:pt>
                <c:pt idx="317">
                  <c:v>1.7128180999999999E-2</c:v>
                </c:pt>
                <c:pt idx="318">
                  <c:v>1.5049659E-2</c:v>
                </c:pt>
                <c:pt idx="319">
                  <c:v>1.3699220999999999E-2</c:v>
                </c:pt>
                <c:pt idx="320">
                  <c:v>1.3480561E-2</c:v>
                </c:pt>
                <c:pt idx="321">
                  <c:v>1.4564462E-2</c:v>
                </c:pt>
                <c:pt idx="322">
                  <c:v>1.4877003999999999E-2</c:v>
                </c:pt>
                <c:pt idx="323">
                  <c:v>1.3434846E-2</c:v>
                </c:pt>
                <c:pt idx="324">
                  <c:v>1.2125538E-2</c:v>
                </c:pt>
                <c:pt idx="325">
                  <c:v>1.0430547E-2</c:v>
                </c:pt>
                <c:pt idx="326">
                  <c:v>1.0302192999999999E-2</c:v>
                </c:pt>
                <c:pt idx="327">
                  <c:v>9.9364780000000003E-3</c:v>
                </c:pt>
                <c:pt idx="328">
                  <c:v>1.0340151000000001E-2</c:v>
                </c:pt>
                <c:pt idx="329">
                  <c:v>9.4012839999999993E-3</c:v>
                </c:pt>
                <c:pt idx="330">
                  <c:v>8.7780670000000005E-3</c:v>
                </c:pt>
                <c:pt idx="331">
                  <c:v>8.229597E-3</c:v>
                </c:pt>
                <c:pt idx="332">
                  <c:v>8.1289550000000002E-3</c:v>
                </c:pt>
                <c:pt idx="333">
                  <c:v>7.6556489999999996E-3</c:v>
                </c:pt>
                <c:pt idx="334">
                  <c:v>7.7988429999999997E-3</c:v>
                </c:pt>
                <c:pt idx="335">
                  <c:v>8.0835739999999996E-3</c:v>
                </c:pt>
                <c:pt idx="336">
                  <c:v>8.7684519999999995E-3</c:v>
                </c:pt>
                <c:pt idx="337">
                  <c:v>9.7393840000000002E-3</c:v>
                </c:pt>
                <c:pt idx="338">
                  <c:v>9.0894949999999995E-3</c:v>
                </c:pt>
                <c:pt idx="339">
                  <c:v>8.6699900000000007E-3</c:v>
                </c:pt>
                <c:pt idx="340">
                  <c:v>8.9490509999999995E-3</c:v>
                </c:pt>
                <c:pt idx="341">
                  <c:v>1.0474084999999999E-2</c:v>
                </c:pt>
                <c:pt idx="342">
                  <c:v>1.1343819999999999E-2</c:v>
                </c:pt>
                <c:pt idx="343">
                  <c:v>1.0063692000000001E-2</c:v>
                </c:pt>
                <c:pt idx="344">
                  <c:v>1.4251152E-2</c:v>
                </c:pt>
                <c:pt idx="345">
                  <c:v>1.7355483000000001E-2</c:v>
                </c:pt>
                <c:pt idx="346">
                  <c:v>2.1358766000000001E-2</c:v>
                </c:pt>
                <c:pt idx="347">
                  <c:v>2.0729427000000002E-2</c:v>
                </c:pt>
                <c:pt idx="348">
                  <c:v>2.8724530000000002E-2</c:v>
                </c:pt>
                <c:pt idx="349">
                  <c:v>2.9885521000000002E-2</c:v>
                </c:pt>
                <c:pt idx="350">
                  <c:v>3.9257087000000003E-2</c:v>
                </c:pt>
                <c:pt idx="351">
                  <c:v>5.1714217E-2</c:v>
                </c:pt>
                <c:pt idx="352">
                  <c:v>6.5931910999999996E-2</c:v>
                </c:pt>
                <c:pt idx="353">
                  <c:v>7.4676787999999994E-2</c:v>
                </c:pt>
                <c:pt idx="354">
                  <c:v>8.5142897999999995E-2</c:v>
                </c:pt>
                <c:pt idx="355">
                  <c:v>7.7476080000000003E-2</c:v>
                </c:pt>
                <c:pt idx="356">
                  <c:v>6.3177850999999993E-2</c:v>
                </c:pt>
                <c:pt idx="357">
                  <c:v>3.7283136000000001E-2</c:v>
                </c:pt>
                <c:pt idx="358">
                  <c:v>2.1643836999999999E-2</c:v>
                </c:pt>
                <c:pt idx="359">
                  <c:v>2.1949561999999999E-2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CA-4536-BD48-9AED768E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1680"/>
        <c:axId val="61758091"/>
      </c:scatterChart>
      <c:valAx>
        <c:axId val="6538168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61758091"/>
        <c:crosses val="autoZero"/>
        <c:crossBetween val="midCat"/>
      </c:valAx>
      <c:valAx>
        <c:axId val="617580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nl-BE"/>
          </a:p>
        </c:txPr>
        <c:crossAx val="653816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216210</xdr:colOff>
      <xdr:row>19</xdr:row>
      <xdr:rowOff>52705</xdr:rowOff>
    </xdr:from>
    <xdr:to>
      <xdr:col>21</xdr:col>
      <xdr:colOff>517685</xdr:colOff>
      <xdr:row>34</xdr:row>
      <xdr:rowOff>95455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490699</xdr:colOff>
      <xdr:row>3</xdr:row>
      <xdr:rowOff>14281</xdr:rowOff>
    </xdr:from>
    <xdr:to>
      <xdr:col>32</xdr:col>
      <xdr:colOff>320119</xdr:colOff>
      <xdr:row>24</xdr:row>
      <xdr:rowOff>1681</xdr:rowOff>
    </xdr:to>
    <xdr:graphicFrame macro="">
      <xdr:nvGraphicFramePr>
        <xdr:cNvPr id="10" name="Grafie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481478</xdr:colOff>
      <xdr:row>24</xdr:row>
      <xdr:rowOff>124690</xdr:rowOff>
    </xdr:from>
    <xdr:to>
      <xdr:col>32</xdr:col>
      <xdr:colOff>326499</xdr:colOff>
      <xdr:row>43</xdr:row>
      <xdr:rowOff>39261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4</xdr:row>
      <xdr:rowOff>69273</xdr:rowOff>
    </xdr:from>
    <xdr:to>
      <xdr:col>21</xdr:col>
      <xdr:colOff>436071</xdr:colOff>
      <xdr:row>16</xdr:row>
      <xdr:rowOff>94904</xdr:rowOff>
    </xdr:to>
    <xdr:pic>
      <xdr:nvPicPr>
        <xdr:cNvPr id="13" name="Afbeelding 12">
          <a:extLst>
            <a:ext uri="{FF2B5EF4-FFF2-40B4-BE49-F238E27FC236}">
              <a16:creationId xmlns:a16="http://schemas.microsoft.com/office/drawing/2014/main" id="{6B618C41-CFE6-B73D-4146-519E6F5A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40945" y="845128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15</xdr:col>
      <xdr:colOff>401781</xdr:colOff>
      <xdr:row>53</xdr:row>
      <xdr:rowOff>69273</xdr:rowOff>
    </xdr:from>
    <xdr:to>
      <xdr:col>23</xdr:col>
      <xdr:colOff>249727</xdr:colOff>
      <xdr:row>65</xdr:row>
      <xdr:rowOff>94904</xdr:rowOff>
    </xdr:to>
    <xdr:pic>
      <xdr:nvPicPr>
        <xdr:cNvPr id="14" name="Afbeelding 13">
          <a:extLst>
            <a:ext uri="{FF2B5EF4-FFF2-40B4-BE49-F238E27FC236}">
              <a16:creationId xmlns:a16="http://schemas.microsoft.com/office/drawing/2014/main" id="{DC4AC9BC-2B54-9F10-A425-F5EA65EFD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38472" y="9670473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13</xdr:col>
      <xdr:colOff>124690</xdr:colOff>
      <xdr:row>97</xdr:row>
      <xdr:rowOff>152400</xdr:rowOff>
    </xdr:from>
    <xdr:to>
      <xdr:col>20</xdr:col>
      <xdr:colOff>551237</xdr:colOff>
      <xdr:row>110</xdr:row>
      <xdr:rowOff>20782</xdr:rowOff>
    </xdr:to>
    <xdr:pic>
      <xdr:nvPicPr>
        <xdr:cNvPr id="15" name="Afbeelding 14">
          <a:extLst>
            <a:ext uri="{FF2B5EF4-FFF2-40B4-BE49-F238E27FC236}">
              <a16:creationId xmlns:a16="http://schemas.microsoft.com/office/drawing/2014/main" id="{14D8B9A1-29AF-8540-F7E1-DD6134C3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69890" y="34248436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304800</xdr:colOff>
      <xdr:row>145</xdr:row>
      <xdr:rowOff>96981</xdr:rowOff>
    </xdr:from>
    <xdr:to>
      <xdr:col>21</xdr:col>
      <xdr:colOff>148936</xdr:colOff>
      <xdr:row>157</xdr:row>
      <xdr:rowOff>132137</xdr:rowOff>
    </xdr:to>
    <xdr:pic>
      <xdr:nvPicPr>
        <xdr:cNvPr id="16" name="Afbeelding 15">
          <a:extLst>
            <a:ext uri="{FF2B5EF4-FFF2-40B4-BE49-F238E27FC236}">
              <a16:creationId xmlns:a16="http://schemas.microsoft.com/office/drawing/2014/main" id="{EC11E952-905C-8C06-8B6E-1F8F64E2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00" y="50943163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304799</xdr:colOff>
      <xdr:row>188</xdr:row>
      <xdr:rowOff>138546</xdr:rowOff>
    </xdr:from>
    <xdr:to>
      <xdr:col>22</xdr:col>
      <xdr:colOff>148934</xdr:colOff>
      <xdr:row>201</xdr:row>
      <xdr:rowOff>520</xdr:rowOff>
    </xdr:to>
    <xdr:pic>
      <xdr:nvPicPr>
        <xdr:cNvPr id="17" name="Afbeelding 16">
          <a:extLst>
            <a:ext uri="{FF2B5EF4-FFF2-40B4-BE49-F238E27FC236}">
              <a16:creationId xmlns:a16="http://schemas.microsoft.com/office/drawing/2014/main" id="{C8140C41-B1EE-E135-40A7-564A5CE5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45744" y="66834328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271475</xdr:colOff>
      <xdr:row>235</xdr:row>
      <xdr:rowOff>40154</xdr:rowOff>
    </xdr:from>
    <xdr:to>
      <xdr:col>22</xdr:col>
      <xdr:colOff>168629</xdr:colOff>
      <xdr:row>247</xdr:row>
      <xdr:rowOff>60071</xdr:rowOff>
    </xdr:to>
    <xdr:pic>
      <xdr:nvPicPr>
        <xdr:cNvPr id="18" name="Afbeelding 17">
          <a:extLst>
            <a:ext uri="{FF2B5EF4-FFF2-40B4-BE49-F238E27FC236}">
              <a16:creationId xmlns:a16="http://schemas.microsoft.com/office/drawing/2014/main" id="{A6643884-90F4-A25C-BF83-10BC64A1F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18904" y="41664404"/>
          <a:ext cx="4581821" cy="2150251"/>
        </a:xfrm>
        <a:prstGeom prst="rect">
          <a:avLst/>
        </a:prstGeom>
      </xdr:spPr>
    </xdr:pic>
    <xdr:clientData/>
  </xdr:twoCellAnchor>
  <xdr:twoCellAnchor editAs="oneCell">
    <xdr:from>
      <xdr:col>12</xdr:col>
      <xdr:colOff>1011381</xdr:colOff>
      <xdr:row>325</xdr:row>
      <xdr:rowOff>55419</xdr:rowOff>
    </xdr:from>
    <xdr:to>
      <xdr:col>19</xdr:col>
      <xdr:colOff>384464</xdr:colOff>
      <xdr:row>337</xdr:row>
      <xdr:rowOff>98195</xdr:rowOff>
    </xdr:to>
    <xdr:pic>
      <xdr:nvPicPr>
        <xdr:cNvPr id="19" name="Afbeelding 18">
          <a:extLst>
            <a:ext uri="{FF2B5EF4-FFF2-40B4-BE49-F238E27FC236}">
              <a16:creationId xmlns:a16="http://schemas.microsoft.com/office/drawing/2014/main" id="{CAE108E7-879E-B314-C30E-9A94B71E1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094036" y="83321237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161157</xdr:colOff>
      <xdr:row>276</xdr:row>
      <xdr:rowOff>109105</xdr:rowOff>
    </xdr:from>
    <xdr:to>
      <xdr:col>22</xdr:col>
      <xdr:colOff>54403</xdr:colOff>
      <xdr:row>288</xdr:row>
      <xdr:rowOff>136642</xdr:rowOff>
    </xdr:to>
    <xdr:pic>
      <xdr:nvPicPr>
        <xdr:cNvPr id="20" name="Afbeelding 19">
          <a:extLst>
            <a:ext uri="{FF2B5EF4-FFF2-40B4-BE49-F238E27FC236}">
              <a16:creationId xmlns:a16="http://schemas.microsoft.com/office/drawing/2014/main" id="{452FE045-5E85-4AA7-9BF6-366CAE23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408586" y="48985962"/>
          <a:ext cx="4577913" cy="21616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544287</xdr:colOff>
      <xdr:row>53</xdr:row>
      <xdr:rowOff>10887</xdr:rowOff>
    </xdr:from>
    <xdr:ext cx="4610100" cy="2200275"/>
    <xdr:pic>
      <xdr:nvPicPr>
        <xdr:cNvPr id="3" name="Afbeelding 2">
          <a:extLst>
            <a:ext uri="{FF2B5EF4-FFF2-40B4-BE49-F238E27FC236}">
              <a16:creationId xmlns:a16="http://schemas.microsoft.com/office/drawing/2014/main" id="{2BED7FEB-F565-4EE2-ABA8-84258312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1" y="9862458"/>
          <a:ext cx="4610100" cy="2200275"/>
        </a:xfrm>
        <a:prstGeom prst="rect">
          <a:avLst/>
        </a:prstGeom>
      </xdr:spPr>
    </xdr:pic>
    <xdr:clientData/>
  </xdr:oneCellAnchor>
  <xdr:oneCellAnchor>
    <xdr:from>
      <xdr:col>13</xdr:col>
      <xdr:colOff>21772</xdr:colOff>
      <xdr:row>98</xdr:row>
      <xdr:rowOff>108858</xdr:rowOff>
    </xdr:from>
    <xdr:ext cx="4610100" cy="2200275"/>
    <xdr:pic>
      <xdr:nvPicPr>
        <xdr:cNvPr id="4" name="Afbeelding 3">
          <a:extLst>
            <a:ext uri="{FF2B5EF4-FFF2-40B4-BE49-F238E27FC236}">
              <a16:creationId xmlns:a16="http://schemas.microsoft.com/office/drawing/2014/main" id="{A9A9F9FD-1F01-4115-A23C-59601600F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3486" y="18288001"/>
          <a:ext cx="4610100" cy="2200275"/>
        </a:xfrm>
        <a:prstGeom prst="rect">
          <a:avLst/>
        </a:prstGeom>
      </xdr:spPr>
    </xdr:pic>
    <xdr:clientData/>
  </xdr:oneCellAnchor>
  <xdr:oneCellAnchor>
    <xdr:from>
      <xdr:col>13</xdr:col>
      <xdr:colOff>519545</xdr:colOff>
      <xdr:row>143</xdr:row>
      <xdr:rowOff>72242</xdr:rowOff>
    </xdr:from>
    <xdr:ext cx="4610100" cy="2200275"/>
    <xdr:pic>
      <xdr:nvPicPr>
        <xdr:cNvPr id="5" name="Afbeelding 4">
          <a:extLst>
            <a:ext uri="{FF2B5EF4-FFF2-40B4-BE49-F238E27FC236}">
              <a16:creationId xmlns:a16="http://schemas.microsoft.com/office/drawing/2014/main" id="{8D236030-7973-4330-8C0F-221ED353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01259" y="26578956"/>
          <a:ext cx="4610100" cy="2200275"/>
        </a:xfrm>
        <a:prstGeom prst="rect">
          <a:avLst/>
        </a:prstGeom>
      </xdr:spPr>
    </xdr:pic>
    <xdr:clientData/>
  </xdr:oneCellAnchor>
  <xdr:oneCellAnchor>
    <xdr:from>
      <xdr:col>15</xdr:col>
      <xdr:colOff>87086</xdr:colOff>
      <xdr:row>187</xdr:row>
      <xdr:rowOff>43543</xdr:rowOff>
    </xdr:from>
    <xdr:ext cx="4610100" cy="2200275"/>
    <xdr:pic>
      <xdr:nvPicPr>
        <xdr:cNvPr id="6" name="Afbeelding 5">
          <a:extLst>
            <a:ext uri="{FF2B5EF4-FFF2-40B4-BE49-F238E27FC236}">
              <a16:creationId xmlns:a16="http://schemas.microsoft.com/office/drawing/2014/main" id="{A52CB416-8287-458A-9D3A-BE33BE45E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66229" y="34692772"/>
          <a:ext cx="4610100" cy="2200275"/>
        </a:xfrm>
        <a:prstGeom prst="rect">
          <a:avLst/>
        </a:prstGeom>
      </xdr:spPr>
    </xdr:pic>
    <xdr:clientData/>
  </xdr:oneCellAnchor>
  <xdr:oneCellAnchor>
    <xdr:from>
      <xdr:col>15</xdr:col>
      <xdr:colOff>43542</xdr:colOff>
      <xdr:row>232</xdr:row>
      <xdr:rowOff>163285</xdr:rowOff>
    </xdr:from>
    <xdr:ext cx="4610100" cy="2200275"/>
    <xdr:pic>
      <xdr:nvPicPr>
        <xdr:cNvPr id="7" name="Afbeelding 6">
          <a:extLst>
            <a:ext uri="{FF2B5EF4-FFF2-40B4-BE49-F238E27FC236}">
              <a16:creationId xmlns:a16="http://schemas.microsoft.com/office/drawing/2014/main" id="{31420876-59B9-4734-983A-0ECD2A12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22685" y="43140085"/>
          <a:ext cx="4610100" cy="2200275"/>
        </a:xfrm>
        <a:prstGeom prst="rect">
          <a:avLst/>
        </a:prstGeom>
      </xdr:spPr>
    </xdr:pic>
    <xdr:clientData/>
  </xdr:oneCellAnchor>
  <xdr:oneCellAnchor>
    <xdr:from>
      <xdr:col>14</xdr:col>
      <xdr:colOff>174172</xdr:colOff>
      <xdr:row>277</xdr:row>
      <xdr:rowOff>119743</xdr:rowOff>
    </xdr:from>
    <xdr:ext cx="4610100" cy="2200275"/>
    <xdr:pic>
      <xdr:nvPicPr>
        <xdr:cNvPr id="8" name="Afbeelding 7">
          <a:extLst>
            <a:ext uri="{FF2B5EF4-FFF2-40B4-BE49-F238E27FC236}">
              <a16:creationId xmlns:a16="http://schemas.microsoft.com/office/drawing/2014/main" id="{E425B28F-FF40-4956-8AC0-E26D43E05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54601" y="51424114"/>
          <a:ext cx="4610100" cy="2200275"/>
        </a:xfrm>
        <a:prstGeom prst="rect">
          <a:avLst/>
        </a:prstGeom>
      </xdr:spPr>
    </xdr:pic>
    <xdr:clientData/>
  </xdr:oneCellAnchor>
  <xdr:oneCellAnchor>
    <xdr:from>
      <xdr:col>14</xdr:col>
      <xdr:colOff>32657</xdr:colOff>
      <xdr:row>321</xdr:row>
      <xdr:rowOff>174171</xdr:rowOff>
    </xdr:from>
    <xdr:ext cx="4610100" cy="2200275"/>
    <xdr:pic>
      <xdr:nvPicPr>
        <xdr:cNvPr id="9" name="Afbeelding 8">
          <a:extLst>
            <a:ext uri="{FF2B5EF4-FFF2-40B4-BE49-F238E27FC236}">
              <a16:creationId xmlns:a16="http://schemas.microsoft.com/office/drawing/2014/main" id="{45ED2DDD-5A95-42E3-B18F-DC4F3191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13086" y="59621057"/>
          <a:ext cx="4610100" cy="2200275"/>
        </a:xfrm>
        <a:prstGeom prst="rect">
          <a:avLst/>
        </a:prstGeom>
      </xdr:spPr>
    </xdr:pic>
    <xdr:clientData/>
  </xdr:oneCellAnchor>
  <xdr:oneCellAnchor>
    <xdr:from>
      <xdr:col>13</xdr:col>
      <xdr:colOff>544286</xdr:colOff>
      <xdr:row>367</xdr:row>
      <xdr:rowOff>54429</xdr:rowOff>
    </xdr:from>
    <xdr:ext cx="4610100" cy="2200275"/>
    <xdr:pic>
      <xdr:nvPicPr>
        <xdr:cNvPr id="10" name="Afbeelding 9">
          <a:extLst>
            <a:ext uri="{FF2B5EF4-FFF2-40B4-BE49-F238E27FC236}">
              <a16:creationId xmlns:a16="http://schemas.microsoft.com/office/drawing/2014/main" id="{E38BE63E-DC29-4D77-994D-AAD357A5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26000" y="68013943"/>
          <a:ext cx="4610100" cy="2200275"/>
        </a:xfrm>
        <a:prstGeom prst="rect">
          <a:avLst/>
        </a:prstGeom>
      </xdr:spPr>
    </xdr:pic>
    <xdr:clientData/>
  </xdr:oneCellAnchor>
  <xdr:oneCellAnchor>
    <xdr:from>
      <xdr:col>13</xdr:col>
      <xdr:colOff>175756</xdr:colOff>
      <xdr:row>414</xdr:row>
      <xdr:rowOff>68284</xdr:rowOff>
    </xdr:from>
    <xdr:ext cx="4610100" cy="2200275"/>
    <xdr:pic>
      <xdr:nvPicPr>
        <xdr:cNvPr id="11" name="Afbeelding 10">
          <a:extLst>
            <a:ext uri="{FF2B5EF4-FFF2-40B4-BE49-F238E27FC236}">
              <a16:creationId xmlns:a16="http://schemas.microsoft.com/office/drawing/2014/main" id="{F9AB64E0-384C-44CC-BDF6-664D5B33B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7470" y="76725484"/>
          <a:ext cx="4610100" cy="2200275"/>
        </a:xfrm>
        <a:prstGeom prst="rect">
          <a:avLst/>
        </a:prstGeom>
      </xdr:spPr>
    </xdr:pic>
    <xdr:clientData/>
  </xdr:oneCellAnchor>
  <xdr:twoCellAnchor editAs="oneCell">
    <xdr:from>
      <xdr:col>14</xdr:col>
      <xdr:colOff>97972</xdr:colOff>
      <xdr:row>10</xdr:row>
      <xdr:rowOff>174172</xdr:rowOff>
    </xdr:from>
    <xdr:to>
      <xdr:col>21</xdr:col>
      <xdr:colOff>517072</xdr:colOff>
      <xdr:row>22</xdr:row>
      <xdr:rowOff>153761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A7C31AE9-6F0B-408C-34A1-022040EED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678401" y="2068286"/>
          <a:ext cx="4610100" cy="2200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55</xdr:row>
      <xdr:rowOff>0</xdr:rowOff>
    </xdr:from>
    <xdr:to>
      <xdr:col>25</xdr:col>
      <xdr:colOff>419100</xdr:colOff>
      <xdr:row>66</xdr:row>
      <xdr:rowOff>168457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E5F29F9-BA95-D17A-68F8-A7160725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3029" y="10221686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102</xdr:row>
      <xdr:rowOff>0</xdr:rowOff>
    </xdr:from>
    <xdr:to>
      <xdr:col>24</xdr:col>
      <xdr:colOff>419100</xdr:colOff>
      <xdr:row>113</xdr:row>
      <xdr:rowOff>168456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FF67AC7-9A62-C074-2F12-DD570DCF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4314" y="18919371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148</xdr:row>
      <xdr:rowOff>0</xdr:rowOff>
    </xdr:from>
    <xdr:to>
      <xdr:col>23</xdr:col>
      <xdr:colOff>419100</xdr:colOff>
      <xdr:row>159</xdr:row>
      <xdr:rowOff>168456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A9EFADE6-5131-954B-6426-7F839327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25600" y="27432000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197</xdr:row>
      <xdr:rowOff>0</xdr:rowOff>
    </xdr:from>
    <xdr:to>
      <xdr:col>21</xdr:col>
      <xdr:colOff>419100</xdr:colOff>
      <xdr:row>208</xdr:row>
      <xdr:rowOff>168456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2CD24E33-EE94-C565-7A43-B3B757021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28171" y="36499800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522514</xdr:colOff>
      <xdr:row>239</xdr:row>
      <xdr:rowOff>10886</xdr:rowOff>
    </xdr:from>
    <xdr:to>
      <xdr:col>22</xdr:col>
      <xdr:colOff>342900</xdr:colOff>
      <xdr:row>250</xdr:row>
      <xdr:rowOff>171722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1B9693F8-7FE9-68CF-3DFE-8217353FC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53114" y="44283086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13</xdr:col>
      <xdr:colOff>326571</xdr:colOff>
      <xdr:row>281</xdr:row>
      <xdr:rowOff>119743</xdr:rowOff>
    </xdr:from>
    <xdr:to>
      <xdr:col>21</xdr:col>
      <xdr:colOff>135527</xdr:colOff>
      <xdr:row>293</xdr:row>
      <xdr:rowOff>95522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4A9A235D-0257-61A5-9AE2-C43F613A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58457" y="52164343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10886</xdr:colOff>
      <xdr:row>323</xdr:row>
      <xdr:rowOff>141515</xdr:rowOff>
    </xdr:from>
    <xdr:to>
      <xdr:col>22</xdr:col>
      <xdr:colOff>439511</xdr:colOff>
      <xdr:row>335</xdr:row>
      <xdr:rowOff>134439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7AA61ADE-EE14-5257-AF40-D9C5781F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40200" y="59958515"/>
          <a:ext cx="4610100" cy="220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65315</xdr:colOff>
      <xdr:row>9</xdr:row>
      <xdr:rowOff>87086</xdr:rowOff>
    </xdr:from>
    <xdr:to>
      <xdr:col>21</xdr:col>
      <xdr:colOff>474890</xdr:colOff>
      <xdr:row>21</xdr:row>
      <xdr:rowOff>59055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66F79965-CF46-FCA7-064D-87D39D9B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95915" y="1796143"/>
          <a:ext cx="4610100" cy="2200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71846</xdr:colOff>
      <xdr:row>9</xdr:row>
      <xdr:rowOff>68037</xdr:rowOff>
    </xdr:from>
    <xdr:to>
      <xdr:col>20</xdr:col>
      <xdr:colOff>554757</xdr:colOff>
      <xdr:row>19</xdr:row>
      <xdr:rowOff>58883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52D38CBA-0746-6DFA-B094-A4A841E5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8235"/>
        <a:stretch/>
      </xdr:blipFill>
      <xdr:spPr>
        <a:xfrm>
          <a:off x="16305167" y="1714501"/>
          <a:ext cx="3999269" cy="1752155"/>
        </a:xfrm>
        <a:prstGeom prst="rect">
          <a:avLst/>
        </a:prstGeom>
      </xdr:spPr>
    </xdr:pic>
    <xdr:clientData/>
  </xdr:twoCellAnchor>
  <xdr:twoCellAnchor editAs="oneCell">
    <xdr:from>
      <xdr:col>16</xdr:col>
      <xdr:colOff>449035</xdr:colOff>
      <xdr:row>53</xdr:row>
      <xdr:rowOff>54429</xdr:rowOff>
    </xdr:from>
    <xdr:to>
      <xdr:col>24</xdr:col>
      <xdr:colOff>380183</xdr:colOff>
      <xdr:row>65</xdr:row>
      <xdr:rowOff>131990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ED6D6568-DF55-004F-368B-53659D14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2571" y="9484179"/>
          <a:ext cx="4612005" cy="2200275"/>
        </a:xfrm>
        <a:prstGeom prst="rect">
          <a:avLst/>
        </a:prstGeom>
      </xdr:spPr>
    </xdr:pic>
    <xdr:clientData/>
  </xdr:twoCellAnchor>
  <xdr:twoCellAnchor editAs="oneCell">
    <xdr:from>
      <xdr:col>15</xdr:col>
      <xdr:colOff>258536</xdr:colOff>
      <xdr:row>97</xdr:row>
      <xdr:rowOff>13608</xdr:rowOff>
    </xdr:from>
    <xdr:to>
      <xdr:col>23</xdr:col>
      <xdr:colOff>189684</xdr:colOff>
      <xdr:row>109</xdr:row>
      <xdr:rowOff>91169</xdr:rowOff>
    </xdr:to>
    <xdr:pic>
      <xdr:nvPicPr>
        <xdr:cNvPr id="12" name="Afbeelding 11">
          <a:extLst>
            <a:ext uri="{FF2B5EF4-FFF2-40B4-BE49-F238E27FC236}">
              <a16:creationId xmlns:a16="http://schemas.microsoft.com/office/drawing/2014/main" id="{6AB72BB8-8BA6-FA05-7B5C-125C387B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76965" y="17226644"/>
          <a:ext cx="4612005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zoomScale="70" zoomScaleNormal="70" workbookViewId="0">
      <selection activeCell="M13" sqref="M13"/>
    </sheetView>
  </sheetViews>
  <sheetFormatPr defaultColWidth="8.6640625" defaultRowHeight="14.4" x14ac:dyDescent="0.3"/>
  <cols>
    <col min="1" max="1" width="59.44140625" customWidth="1"/>
    <col min="2" max="2" width="17.77734375" customWidth="1"/>
    <col min="3" max="3" width="12.6640625" customWidth="1"/>
    <col min="5" max="5" width="12.21875" customWidth="1"/>
    <col min="6" max="6" width="17.33203125" style="20" customWidth="1"/>
    <col min="7" max="7" width="19.44140625" style="20" customWidth="1"/>
    <col min="8" max="8" width="14.33203125" style="21" customWidth="1"/>
    <col min="9" max="9" width="22.88671875" customWidth="1"/>
    <col min="10" max="10" width="21.6640625" customWidth="1"/>
    <col min="11" max="11" width="17.44140625" customWidth="1"/>
    <col min="12" max="12" width="38" bestFit="1" customWidth="1"/>
    <col min="13" max="13" width="24.33203125" bestFit="1" customWidth="1"/>
  </cols>
  <sheetData>
    <row r="1" spans="1:13" ht="18" x14ac:dyDescent="0.35">
      <c r="A1" s="2" t="s">
        <v>0</v>
      </c>
      <c r="B1" s="3" t="s">
        <v>1</v>
      </c>
    </row>
    <row r="3" spans="1:13" x14ac:dyDescent="0.3">
      <c r="I3">
        <f>MIN(2, 3, 0)</f>
        <v>0</v>
      </c>
      <c r="K3" t="s">
        <v>2</v>
      </c>
    </row>
    <row r="4" spans="1:13" x14ac:dyDescent="0.3">
      <c r="A4" s="4" t="s">
        <v>3</v>
      </c>
      <c r="B4" t="s">
        <v>4</v>
      </c>
      <c r="K4" t="s">
        <v>5</v>
      </c>
    </row>
    <row r="5" spans="1:13" x14ac:dyDescent="0.3">
      <c r="I5" t="s">
        <v>6</v>
      </c>
      <c r="J5" t="s">
        <v>6</v>
      </c>
      <c r="K5" t="s">
        <v>7</v>
      </c>
      <c r="L5" t="s">
        <v>7</v>
      </c>
      <c r="M5" t="s">
        <v>7</v>
      </c>
    </row>
    <row r="6" spans="1:13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22" t="s">
        <v>9</v>
      </c>
      <c r="G6" s="22" t="s">
        <v>13</v>
      </c>
      <c r="H6" s="22" t="s">
        <v>14</v>
      </c>
      <c r="I6" s="6" t="s">
        <v>15</v>
      </c>
      <c r="J6" s="7" t="s">
        <v>16</v>
      </c>
      <c r="K6" s="8" t="s">
        <v>17</v>
      </c>
      <c r="L6" s="30" t="s">
        <v>18</v>
      </c>
      <c r="M6" s="30" t="s">
        <v>19</v>
      </c>
    </row>
    <row r="7" spans="1:13" x14ac:dyDescent="0.3">
      <c r="A7" s="9">
        <v>20241115</v>
      </c>
      <c r="B7" s="9">
        <v>59.27</v>
      </c>
      <c r="C7" s="9">
        <v>12.05</v>
      </c>
      <c r="D7" s="9">
        <v>0.81</v>
      </c>
      <c r="E7" s="9">
        <v>0.98</v>
      </c>
      <c r="F7" s="20">
        <v>-90</v>
      </c>
      <c r="G7" s="20">
        <v>1.0921370999999999E-2</v>
      </c>
      <c r="H7" s="21">
        <v>4.9228609999999997E-3</v>
      </c>
      <c r="I7" s="10">
        <f t="shared" ref="I7:I51" si="0">F7-$B$7</f>
        <v>-149.27000000000001</v>
      </c>
      <c r="J7" s="11">
        <f t="shared" ref="J7:J70" si="1">IF(I7&gt;90,-90+(I7-90), IF(-I7&gt;90,90+(I7+90),I7))</f>
        <v>30.72999999999999</v>
      </c>
      <c r="K7" s="12">
        <f>MIN(ABS(F7-$B$7), ABS(F7-180-$B$7), ABS(F7+180-$B$7))</f>
        <v>30.729999999999997</v>
      </c>
      <c r="L7" s="13" cm="1">
        <f t="array" ref="L7">SQRT(SUMPRODUCT(G7:G51,K7:K51*K7:K51))</f>
        <v>24.767387619331313</v>
      </c>
      <c r="M7" s="14" cm="1">
        <f t="array" ref="M7">SUMPRODUCT(G7:G51,ABS(K7:K51))</f>
        <v>16.619169574815466</v>
      </c>
    </row>
    <row r="8" spans="1:13" x14ac:dyDescent="0.3">
      <c r="A8" t="s">
        <v>22</v>
      </c>
      <c r="F8" s="20">
        <v>-85.909090909</v>
      </c>
      <c r="G8" s="20">
        <v>8.1389770000000004E-3</v>
      </c>
      <c r="H8" s="21">
        <v>4.9228609999999997E-3</v>
      </c>
      <c r="I8" s="10">
        <f t="shared" si="0"/>
        <v>-145.179090909</v>
      </c>
      <c r="J8" s="11">
        <f t="shared" si="1"/>
        <v>34.820909091000004</v>
      </c>
      <c r="K8" s="12">
        <f t="shared" ref="K8:K51" si="2">MIN(ABS(F8-$B$7), ABS(F8-180-$B$7), ABS(F8+180-$B$7))</f>
        <v>34.820909090999997</v>
      </c>
    </row>
    <row r="9" spans="1:13" x14ac:dyDescent="0.3">
      <c r="F9" s="20">
        <v>-81.818181817999999</v>
      </c>
      <c r="G9" s="20">
        <v>6.9660240000000003E-3</v>
      </c>
      <c r="H9" s="21">
        <v>4.9228609999999997E-3</v>
      </c>
      <c r="I9" s="10">
        <f t="shared" si="0"/>
        <v>-141.08818181800001</v>
      </c>
      <c r="J9" s="11">
        <f t="shared" si="1"/>
        <v>38.91181818199999</v>
      </c>
      <c r="K9" s="12">
        <f t="shared" si="2"/>
        <v>38.911818181999998</v>
      </c>
    </row>
    <row r="10" spans="1:13" x14ac:dyDescent="0.3">
      <c r="F10" s="20">
        <v>-77.727272726999999</v>
      </c>
      <c r="G10" s="20">
        <v>5.7411440000000001E-3</v>
      </c>
      <c r="H10" s="21">
        <v>4.9228609999999997E-3</v>
      </c>
      <c r="I10" s="10">
        <f t="shared" si="0"/>
        <v>-136.997272727</v>
      </c>
      <c r="J10" s="11">
        <f t="shared" si="1"/>
        <v>43.002727273000005</v>
      </c>
      <c r="K10" s="12">
        <f t="shared" si="2"/>
        <v>43.002727272999998</v>
      </c>
    </row>
    <row r="11" spans="1:13" x14ac:dyDescent="0.3">
      <c r="F11" s="20">
        <v>-73.636363635999999</v>
      </c>
      <c r="G11" s="20">
        <v>4.9751400000000003E-3</v>
      </c>
      <c r="H11" s="21">
        <v>4.9228609999999997E-3</v>
      </c>
      <c r="I11" s="10">
        <f t="shared" si="0"/>
        <v>-132.90636363600001</v>
      </c>
      <c r="J11" s="11">
        <f t="shared" si="1"/>
        <v>47.093636363999991</v>
      </c>
      <c r="K11" s="12">
        <f t="shared" si="2"/>
        <v>47.093636363999998</v>
      </c>
    </row>
    <row r="12" spans="1:13" x14ac:dyDescent="0.3">
      <c r="F12" s="20">
        <v>-69.545454544999998</v>
      </c>
      <c r="G12" s="20">
        <v>4.466785E-3</v>
      </c>
      <c r="H12" s="21">
        <v>4.9228609999999997E-3</v>
      </c>
      <c r="I12" s="10">
        <f t="shared" si="0"/>
        <v>-128.81545454499999</v>
      </c>
      <c r="J12" s="11">
        <f t="shared" si="1"/>
        <v>51.184545455000006</v>
      </c>
      <c r="K12" s="12">
        <f t="shared" si="2"/>
        <v>51.184545454999999</v>
      </c>
    </row>
    <row r="13" spans="1:13" x14ac:dyDescent="0.3">
      <c r="F13" s="20">
        <v>-65.454545455000002</v>
      </c>
      <c r="G13" s="20">
        <v>4.0896830000000002E-3</v>
      </c>
      <c r="H13" s="21">
        <v>4.9228609999999997E-3</v>
      </c>
      <c r="I13" s="10">
        <f t="shared" si="0"/>
        <v>-124.724545455</v>
      </c>
      <c r="J13" s="11">
        <f t="shared" si="1"/>
        <v>55.275454545000002</v>
      </c>
      <c r="K13" s="12">
        <f t="shared" si="2"/>
        <v>55.275454544999995</v>
      </c>
    </row>
    <row r="14" spans="1:13" x14ac:dyDescent="0.3">
      <c r="F14" s="20">
        <v>-61.363636364000001</v>
      </c>
      <c r="G14" s="20">
        <v>3.846323E-3</v>
      </c>
      <c r="H14" s="21">
        <v>4.9228609999999997E-3</v>
      </c>
      <c r="I14" s="10">
        <f t="shared" si="0"/>
        <v>-120.63363636400001</v>
      </c>
      <c r="J14" s="11">
        <f t="shared" si="1"/>
        <v>59.366363635999988</v>
      </c>
      <c r="K14" s="12">
        <f t="shared" si="2"/>
        <v>59.366363635999996</v>
      </c>
    </row>
    <row r="15" spans="1:13" x14ac:dyDescent="0.3">
      <c r="F15" s="20">
        <v>-57.272727273000001</v>
      </c>
      <c r="G15" s="20">
        <v>3.6951050000000002E-3</v>
      </c>
      <c r="H15" s="21">
        <v>4.9228609999999997E-3</v>
      </c>
      <c r="I15" s="10">
        <f t="shared" si="0"/>
        <v>-116.542727273</v>
      </c>
      <c r="J15" s="11">
        <f t="shared" si="1"/>
        <v>63.457272727000003</v>
      </c>
      <c r="K15" s="12">
        <f t="shared" si="2"/>
        <v>63.457272726999996</v>
      </c>
    </row>
    <row r="16" spans="1:13" x14ac:dyDescent="0.3">
      <c r="F16" s="20">
        <v>-53.181818182000001</v>
      </c>
      <c r="G16" s="20">
        <v>3.5071730000000001E-3</v>
      </c>
      <c r="H16" s="21">
        <v>4.9228609999999997E-3</v>
      </c>
      <c r="I16" s="10">
        <f t="shared" si="0"/>
        <v>-112.45181818200001</v>
      </c>
      <c r="J16" s="11">
        <f t="shared" si="1"/>
        <v>67.548181817999989</v>
      </c>
      <c r="K16" s="12">
        <f t="shared" si="2"/>
        <v>67.548181817999989</v>
      </c>
      <c r="L16">
        <f>C7/L7</f>
        <v>0.48652688709869413</v>
      </c>
    </row>
    <row r="17" spans="6:12" x14ac:dyDescent="0.3">
      <c r="F17" s="20">
        <v>-49.090909091</v>
      </c>
      <c r="G17" s="20">
        <v>3.3902569999999998E-3</v>
      </c>
      <c r="H17" s="21">
        <v>4.9228609999999997E-3</v>
      </c>
      <c r="I17" s="10">
        <f t="shared" si="0"/>
        <v>-108.360909091</v>
      </c>
      <c r="J17" s="11">
        <f t="shared" si="1"/>
        <v>71.639090909000004</v>
      </c>
      <c r="K17" s="12">
        <f t="shared" si="2"/>
        <v>71.639090908999975</v>
      </c>
    </row>
    <row r="18" spans="6:12" x14ac:dyDescent="0.3">
      <c r="F18" s="20">
        <v>-45</v>
      </c>
      <c r="G18" s="20">
        <v>3.4346440000000002E-3</v>
      </c>
      <c r="H18" s="21">
        <v>4.9228609999999997E-3</v>
      </c>
      <c r="I18" s="10">
        <f t="shared" si="0"/>
        <v>-104.27000000000001</v>
      </c>
      <c r="J18" s="11">
        <f t="shared" si="1"/>
        <v>75.72999999999999</v>
      </c>
      <c r="K18" s="12">
        <f t="shared" si="2"/>
        <v>75.72999999999999</v>
      </c>
    </row>
    <row r="19" spans="6:12" x14ac:dyDescent="0.3">
      <c r="F19" s="20">
        <v>-40.909090909</v>
      </c>
      <c r="G19" s="20">
        <v>3.3947769999999999E-3</v>
      </c>
      <c r="H19" s="21">
        <v>4.9228609999999997E-3</v>
      </c>
      <c r="I19" s="10">
        <f t="shared" si="0"/>
        <v>-100.179090909</v>
      </c>
      <c r="J19" s="11">
        <f t="shared" si="1"/>
        <v>79.820909091000004</v>
      </c>
      <c r="K19" s="12">
        <f t="shared" si="2"/>
        <v>79.820909091000004</v>
      </c>
    </row>
    <row r="20" spans="6:12" x14ac:dyDescent="0.3">
      <c r="F20" s="20">
        <v>-36.818181817999999</v>
      </c>
      <c r="G20" s="20">
        <v>3.3907870000000001E-3</v>
      </c>
      <c r="H20" s="21">
        <v>4.9228609999999997E-3</v>
      </c>
      <c r="I20" s="10">
        <f t="shared" si="0"/>
        <v>-96.08818181800001</v>
      </c>
      <c r="J20" s="11">
        <f t="shared" si="1"/>
        <v>83.91181818199999</v>
      </c>
      <c r="K20" s="12">
        <f t="shared" si="2"/>
        <v>83.91181818199999</v>
      </c>
    </row>
    <row r="21" spans="6:12" x14ac:dyDescent="0.3">
      <c r="F21" s="20">
        <v>-32.727272726999999</v>
      </c>
      <c r="G21" s="20">
        <v>3.4801110000000001E-3</v>
      </c>
      <c r="H21" s="21">
        <v>4.9228609999999997E-3</v>
      </c>
      <c r="I21" s="10">
        <f t="shared" si="0"/>
        <v>-91.997272726999995</v>
      </c>
      <c r="J21" s="11">
        <f t="shared" si="1"/>
        <v>88.002727273000005</v>
      </c>
      <c r="K21" s="12">
        <f t="shared" si="2"/>
        <v>88.002727272999977</v>
      </c>
    </row>
    <row r="22" spans="6:12" x14ac:dyDescent="0.3">
      <c r="F22" s="20">
        <v>-28.636363635999999</v>
      </c>
      <c r="G22" s="20">
        <v>3.4354170000000001E-3</v>
      </c>
      <c r="H22" s="21">
        <v>4.9228609999999997E-3</v>
      </c>
      <c r="I22" s="10">
        <f t="shared" si="0"/>
        <v>-87.906363636000009</v>
      </c>
      <c r="J22" s="11">
        <f t="shared" si="1"/>
        <v>-87.906363636000009</v>
      </c>
      <c r="K22" s="12">
        <f t="shared" si="2"/>
        <v>87.906363636000009</v>
      </c>
    </row>
    <row r="23" spans="6:12" x14ac:dyDescent="0.3">
      <c r="F23" s="20">
        <v>-24.545454544999998</v>
      </c>
      <c r="G23" s="20">
        <v>3.4955239999999999E-3</v>
      </c>
      <c r="H23" s="21">
        <v>4.9228609999999997E-3</v>
      </c>
      <c r="I23" s="10">
        <f t="shared" si="0"/>
        <v>-83.815454544999994</v>
      </c>
      <c r="J23" s="11">
        <f t="shared" si="1"/>
        <v>-83.815454544999994</v>
      </c>
      <c r="K23" s="12">
        <f t="shared" si="2"/>
        <v>83.815454544999994</v>
      </c>
    </row>
    <row r="24" spans="6:12" x14ac:dyDescent="0.3">
      <c r="F24" s="20">
        <v>-20.454545455000002</v>
      </c>
      <c r="G24" s="20">
        <v>3.6795489999999998E-3</v>
      </c>
      <c r="H24" s="21">
        <v>4.9228609999999997E-3</v>
      </c>
      <c r="I24" s="10">
        <f t="shared" si="0"/>
        <v>-79.724545454999998</v>
      </c>
      <c r="J24" s="11">
        <f t="shared" si="1"/>
        <v>-79.724545454999998</v>
      </c>
      <c r="K24" s="12">
        <f t="shared" si="2"/>
        <v>79.724545454999998</v>
      </c>
    </row>
    <row r="25" spans="6:12" x14ac:dyDescent="0.3">
      <c r="F25" s="20">
        <v>-16.363636364000001</v>
      </c>
      <c r="G25" s="20">
        <v>3.8385329999999999E-3</v>
      </c>
      <c r="H25" s="21">
        <v>4.9228620000000001E-3</v>
      </c>
      <c r="I25" s="10">
        <f t="shared" si="0"/>
        <v>-75.633636364000012</v>
      </c>
      <c r="J25" s="11">
        <f t="shared" si="1"/>
        <v>-75.633636364000012</v>
      </c>
      <c r="K25" s="12">
        <f t="shared" si="2"/>
        <v>75.633636364000012</v>
      </c>
    </row>
    <row r="26" spans="6:12" x14ac:dyDescent="0.3">
      <c r="F26" s="20">
        <v>-12.272727272999999</v>
      </c>
      <c r="G26" s="20">
        <v>3.8385950000000002E-3</v>
      </c>
      <c r="H26" s="21">
        <v>4.9228639999999999E-3</v>
      </c>
      <c r="I26" s="10">
        <f t="shared" si="0"/>
        <v>-71.542727272999997</v>
      </c>
      <c r="J26" s="11">
        <f t="shared" si="1"/>
        <v>-71.542727272999997</v>
      </c>
      <c r="K26" s="12">
        <f t="shared" si="2"/>
        <v>71.542727272999997</v>
      </c>
      <c r="L26" s="20"/>
    </row>
    <row r="27" spans="6:12" x14ac:dyDescent="0.3">
      <c r="F27" s="20">
        <v>-8.1818181820000007</v>
      </c>
      <c r="G27" s="20">
        <v>4.0789880000000004E-3</v>
      </c>
      <c r="H27" s="21">
        <v>4.9228780000000003E-3</v>
      </c>
      <c r="I27" s="10">
        <f t="shared" si="0"/>
        <v>-67.451818182000011</v>
      </c>
      <c r="J27" s="11">
        <f t="shared" si="1"/>
        <v>-67.451818182000011</v>
      </c>
      <c r="K27" s="12">
        <f t="shared" si="2"/>
        <v>67.451818182000011</v>
      </c>
    </row>
    <row r="28" spans="6:12" x14ac:dyDescent="0.3">
      <c r="F28" s="20">
        <v>-4.0909090910000003</v>
      </c>
      <c r="G28" s="20">
        <v>4.3260900000000003E-3</v>
      </c>
      <c r="H28" s="21">
        <v>4.9229670000000003E-3</v>
      </c>
      <c r="I28" s="10">
        <f t="shared" si="0"/>
        <v>-63.360909091000003</v>
      </c>
      <c r="J28" s="11">
        <f t="shared" si="1"/>
        <v>-63.360909091000003</v>
      </c>
      <c r="K28" s="12">
        <f t="shared" si="2"/>
        <v>63.360909091000003</v>
      </c>
    </row>
    <row r="29" spans="6:12" x14ac:dyDescent="0.3">
      <c r="F29" s="20">
        <v>0</v>
      </c>
      <c r="G29" s="20">
        <v>4.8024900000000004E-3</v>
      </c>
      <c r="H29" s="21">
        <v>4.9234559999999997E-3</v>
      </c>
      <c r="I29" s="10">
        <f t="shared" si="0"/>
        <v>-59.27</v>
      </c>
      <c r="J29" s="11">
        <f t="shared" si="1"/>
        <v>-59.27</v>
      </c>
      <c r="K29" s="12">
        <f t="shared" si="2"/>
        <v>59.27</v>
      </c>
    </row>
    <row r="30" spans="6:12" x14ac:dyDescent="0.3">
      <c r="F30" s="20">
        <v>4.0909090910000003</v>
      </c>
      <c r="G30" s="20">
        <v>5.3200360000000002E-3</v>
      </c>
      <c r="H30" s="21">
        <v>4.9258410000000002E-3</v>
      </c>
      <c r="I30" s="10">
        <f t="shared" si="0"/>
        <v>-55.179090909000003</v>
      </c>
      <c r="J30" s="11">
        <f t="shared" si="1"/>
        <v>-55.179090909000003</v>
      </c>
      <c r="K30" s="12">
        <f t="shared" si="2"/>
        <v>55.179090909000003</v>
      </c>
    </row>
    <row r="31" spans="6:12" x14ac:dyDescent="0.3">
      <c r="F31" s="20">
        <v>8.1818181820000007</v>
      </c>
      <c r="G31" s="20">
        <v>5.7345870000000002E-3</v>
      </c>
      <c r="H31" s="21">
        <v>4.936162E-3</v>
      </c>
      <c r="I31" s="10">
        <f t="shared" si="0"/>
        <v>-51.088181818000002</v>
      </c>
      <c r="J31" s="11">
        <f t="shared" si="1"/>
        <v>-51.088181818000002</v>
      </c>
      <c r="K31" s="12">
        <f t="shared" si="2"/>
        <v>51.088181818000002</v>
      </c>
    </row>
    <row r="32" spans="6:12" x14ac:dyDescent="0.3">
      <c r="F32" s="20">
        <v>12.272727272999999</v>
      </c>
      <c r="G32" s="20">
        <v>5.9887200000000003E-3</v>
      </c>
      <c r="H32" s="21">
        <v>4.9757710000000004E-3</v>
      </c>
      <c r="I32" s="10">
        <f t="shared" si="0"/>
        <v>-46.997272727000002</v>
      </c>
      <c r="J32" s="11">
        <f t="shared" si="1"/>
        <v>-46.997272727000002</v>
      </c>
      <c r="K32" s="12">
        <f t="shared" si="2"/>
        <v>46.997272727000002</v>
      </c>
    </row>
    <row r="33" spans="6:11" x14ac:dyDescent="0.3">
      <c r="F33" s="20">
        <v>16.363636364000001</v>
      </c>
      <c r="G33" s="20">
        <v>6.2858089999999998E-3</v>
      </c>
      <c r="H33" s="21">
        <v>5.1104360000000003E-3</v>
      </c>
      <c r="I33" s="10">
        <f t="shared" si="0"/>
        <v>-42.906363636000002</v>
      </c>
      <c r="J33" s="11">
        <f t="shared" si="1"/>
        <v>-42.906363636000002</v>
      </c>
      <c r="K33" s="12">
        <f t="shared" si="2"/>
        <v>42.906363636000002</v>
      </c>
    </row>
    <row r="34" spans="6:11" x14ac:dyDescent="0.3">
      <c r="F34" s="20">
        <v>20.454545455000002</v>
      </c>
      <c r="G34" s="20">
        <v>7.2921649999999998E-3</v>
      </c>
      <c r="H34" s="21">
        <v>5.5154959999999999E-3</v>
      </c>
      <c r="I34" s="10">
        <f t="shared" si="0"/>
        <v>-38.815454545000001</v>
      </c>
      <c r="J34" s="11">
        <f t="shared" si="1"/>
        <v>-38.815454545000001</v>
      </c>
      <c r="K34" s="12">
        <f t="shared" si="2"/>
        <v>38.815454545000001</v>
      </c>
    </row>
    <row r="35" spans="6:11" x14ac:dyDescent="0.3">
      <c r="F35" s="20">
        <v>24.545454544999998</v>
      </c>
      <c r="G35" s="20">
        <v>8.6001540000000005E-3</v>
      </c>
      <c r="H35" s="21">
        <v>6.5915569999999996E-3</v>
      </c>
      <c r="I35" s="10">
        <f t="shared" si="0"/>
        <v>-34.724545455000005</v>
      </c>
      <c r="J35" s="11">
        <f t="shared" si="1"/>
        <v>-34.724545455000005</v>
      </c>
      <c r="K35" s="12">
        <f t="shared" si="2"/>
        <v>34.724545455000005</v>
      </c>
    </row>
    <row r="36" spans="6:11" x14ac:dyDescent="0.3">
      <c r="F36" s="20">
        <v>28.636363635999999</v>
      </c>
      <c r="G36" s="20">
        <v>1.03003E-2</v>
      </c>
      <c r="H36" s="21">
        <v>9.1102600000000002E-3</v>
      </c>
      <c r="I36" s="10">
        <f t="shared" si="0"/>
        <v>-30.633636364000004</v>
      </c>
      <c r="J36" s="11">
        <f t="shared" si="1"/>
        <v>-30.633636364000004</v>
      </c>
      <c r="K36" s="12">
        <f t="shared" si="2"/>
        <v>30.633636364000004</v>
      </c>
    </row>
    <row r="37" spans="6:11" x14ac:dyDescent="0.3">
      <c r="F37" s="20">
        <v>32.727272726999999</v>
      </c>
      <c r="G37" s="20">
        <v>1.2624122999999999E-2</v>
      </c>
      <c r="H37" s="21">
        <v>1.4287441E-2</v>
      </c>
      <c r="I37" s="10">
        <f t="shared" si="0"/>
        <v>-26.542727273000004</v>
      </c>
      <c r="J37" s="11">
        <f t="shared" si="1"/>
        <v>-26.542727273000004</v>
      </c>
      <c r="K37" s="12">
        <f t="shared" si="2"/>
        <v>26.542727273000004</v>
      </c>
    </row>
    <row r="38" spans="6:11" x14ac:dyDescent="0.3">
      <c r="F38" s="20">
        <v>36.818181817999999</v>
      </c>
      <c r="G38" s="20">
        <v>1.9144543E-2</v>
      </c>
      <c r="H38" s="21">
        <v>2.3587051000000001E-2</v>
      </c>
      <c r="I38" s="10">
        <f t="shared" si="0"/>
        <v>-22.451818182000004</v>
      </c>
      <c r="J38" s="11">
        <f t="shared" si="1"/>
        <v>-22.451818182000004</v>
      </c>
      <c r="K38" s="12">
        <f t="shared" si="2"/>
        <v>22.451818182000004</v>
      </c>
    </row>
    <row r="39" spans="6:11" x14ac:dyDescent="0.3">
      <c r="F39" s="20">
        <v>40.909090909</v>
      </c>
      <c r="G39" s="20">
        <v>3.2287082000000002E-2</v>
      </c>
      <c r="H39" s="21">
        <v>3.807464E-2</v>
      </c>
      <c r="I39" s="10">
        <f t="shared" si="0"/>
        <v>-18.360909091000003</v>
      </c>
      <c r="J39" s="11">
        <f t="shared" si="1"/>
        <v>-18.360909091000003</v>
      </c>
      <c r="K39" s="12">
        <f t="shared" si="2"/>
        <v>18.360909091000003</v>
      </c>
    </row>
    <row r="40" spans="6:11" x14ac:dyDescent="0.3">
      <c r="F40" s="20">
        <v>45</v>
      </c>
      <c r="G40" s="20">
        <v>6.4786567000000003E-2</v>
      </c>
      <c r="H40" s="21">
        <v>5.7401356000000001E-2</v>
      </c>
      <c r="I40" s="10">
        <f t="shared" si="0"/>
        <v>-14.270000000000003</v>
      </c>
      <c r="J40" s="11">
        <f t="shared" si="1"/>
        <v>-14.270000000000003</v>
      </c>
      <c r="K40" s="12">
        <f t="shared" si="2"/>
        <v>14.270000000000003</v>
      </c>
    </row>
    <row r="41" spans="6:11" x14ac:dyDescent="0.3">
      <c r="F41" s="20">
        <v>49.090909091</v>
      </c>
      <c r="G41" s="20">
        <v>7.6843648000000001E-2</v>
      </c>
      <c r="H41" s="21">
        <v>7.8957121000000005E-2</v>
      </c>
      <c r="I41" s="10">
        <f t="shared" si="0"/>
        <v>-10.179090909000003</v>
      </c>
      <c r="J41" s="11">
        <f t="shared" si="1"/>
        <v>-10.179090909000003</v>
      </c>
      <c r="K41" s="12">
        <f t="shared" si="2"/>
        <v>10.179090909000003</v>
      </c>
    </row>
    <row r="42" spans="6:11" x14ac:dyDescent="0.3">
      <c r="F42" s="20">
        <v>53.181818182000001</v>
      </c>
      <c r="G42" s="20">
        <v>0.101981498</v>
      </c>
      <c r="H42" s="21">
        <v>9.8003840999999994E-2</v>
      </c>
      <c r="I42" s="10">
        <f t="shared" si="0"/>
        <v>-6.0881818180000025</v>
      </c>
      <c r="J42" s="11">
        <f t="shared" si="1"/>
        <v>-6.0881818180000025</v>
      </c>
      <c r="K42" s="12">
        <f t="shared" si="2"/>
        <v>6.0881818180000025</v>
      </c>
    </row>
    <row r="43" spans="6:11" x14ac:dyDescent="0.3">
      <c r="F43" s="20">
        <v>57.272727273000001</v>
      </c>
      <c r="G43" s="20">
        <v>0.11193125800000001</v>
      </c>
      <c r="H43" s="21">
        <v>0.109218463</v>
      </c>
      <c r="I43" s="10">
        <f t="shared" si="0"/>
        <v>-1.9972727270000021</v>
      </c>
      <c r="J43" s="11">
        <f t="shared" si="1"/>
        <v>-1.9972727270000021</v>
      </c>
      <c r="K43" s="12">
        <f t="shared" si="2"/>
        <v>1.9972727270000021</v>
      </c>
    </row>
    <row r="44" spans="6:11" x14ac:dyDescent="0.3">
      <c r="F44" s="20">
        <v>61.363636364000001</v>
      </c>
      <c r="G44" s="20">
        <v>9.5897205999999999E-2</v>
      </c>
      <c r="H44" s="21">
        <v>0.109070129</v>
      </c>
      <c r="I44" s="10">
        <f t="shared" si="0"/>
        <v>2.0936363639999982</v>
      </c>
      <c r="J44" s="11">
        <f t="shared" si="1"/>
        <v>2.0936363639999982</v>
      </c>
      <c r="K44" s="12">
        <f t="shared" si="2"/>
        <v>2.0936363639999982</v>
      </c>
    </row>
    <row r="45" spans="6:11" x14ac:dyDescent="0.3">
      <c r="F45" s="20">
        <v>65.454545455000002</v>
      </c>
      <c r="G45" s="20">
        <v>0.106758318</v>
      </c>
      <c r="H45" s="21">
        <v>9.7607253000000005E-2</v>
      </c>
      <c r="I45" s="10">
        <f t="shared" si="0"/>
        <v>6.1845454549999985</v>
      </c>
      <c r="J45" s="11">
        <f t="shared" si="1"/>
        <v>6.1845454549999985</v>
      </c>
      <c r="K45" s="12">
        <f t="shared" si="2"/>
        <v>6.1845454549999985</v>
      </c>
    </row>
    <row r="46" spans="6:11" x14ac:dyDescent="0.3">
      <c r="F46" s="20">
        <v>69.545454544999998</v>
      </c>
      <c r="G46" s="20">
        <v>8.2877848000000004E-2</v>
      </c>
      <c r="H46" s="21">
        <v>7.8432140999999997E-2</v>
      </c>
      <c r="I46" s="10">
        <f t="shared" si="0"/>
        <v>10.275454544999995</v>
      </c>
      <c r="J46" s="11">
        <f t="shared" si="1"/>
        <v>10.275454544999995</v>
      </c>
      <c r="K46" s="12">
        <f t="shared" si="2"/>
        <v>10.275454544999995</v>
      </c>
    </row>
    <row r="47" spans="6:11" x14ac:dyDescent="0.3">
      <c r="F47" s="20">
        <v>73.636363635999999</v>
      </c>
      <c r="G47" s="20">
        <v>4.5435296999999999E-2</v>
      </c>
      <c r="H47" s="21">
        <v>5.6881118000000001E-2</v>
      </c>
      <c r="I47" s="10">
        <f t="shared" si="0"/>
        <v>14.366363635999996</v>
      </c>
      <c r="J47" s="11">
        <f t="shared" si="1"/>
        <v>14.366363635999996</v>
      </c>
      <c r="K47" s="12">
        <f t="shared" si="2"/>
        <v>14.366363635999996</v>
      </c>
    </row>
    <row r="48" spans="6:11" x14ac:dyDescent="0.3">
      <c r="F48" s="20">
        <v>77.727272726999999</v>
      </c>
      <c r="G48" s="20">
        <v>3.9624340000000001E-2</v>
      </c>
      <c r="H48" s="21">
        <v>3.7652695999999999E-2</v>
      </c>
      <c r="I48" s="10">
        <f t="shared" si="0"/>
        <v>18.457272726999996</v>
      </c>
      <c r="J48" s="11">
        <f t="shared" si="1"/>
        <v>18.457272726999996</v>
      </c>
      <c r="K48" s="12">
        <f t="shared" si="2"/>
        <v>18.457272726999996</v>
      </c>
    </row>
    <row r="49" spans="1:13" x14ac:dyDescent="0.3">
      <c r="F49" s="20">
        <v>81.818181817999999</v>
      </c>
      <c r="G49" s="20">
        <v>2.8878088999999999E-2</v>
      </c>
      <c r="H49" s="21">
        <v>2.3297122999999999E-2</v>
      </c>
      <c r="I49" s="10">
        <f t="shared" si="0"/>
        <v>22.548181817999996</v>
      </c>
      <c r="J49" s="11">
        <f t="shared" si="1"/>
        <v>22.548181817999996</v>
      </c>
      <c r="K49" s="12">
        <f t="shared" si="2"/>
        <v>22.548181817999996</v>
      </c>
    </row>
    <row r="50" spans="1:13" x14ac:dyDescent="0.3">
      <c r="F50" s="20">
        <v>85.909090909</v>
      </c>
      <c r="G50" s="20">
        <v>1.5553549E-2</v>
      </c>
      <c r="H50" s="21">
        <v>1.4115767E-2</v>
      </c>
      <c r="I50" s="10">
        <f t="shared" si="0"/>
        <v>26.639090908999997</v>
      </c>
      <c r="J50" s="11">
        <f t="shared" si="1"/>
        <v>26.639090908999997</v>
      </c>
      <c r="K50" s="12">
        <f t="shared" si="2"/>
        <v>26.639090908999997</v>
      </c>
    </row>
    <row r="51" spans="1:13" s="15" customFormat="1" x14ac:dyDescent="0.3">
      <c r="F51" s="23">
        <v>90</v>
      </c>
      <c r="G51" s="23">
        <v>1.0921370999999999E-2</v>
      </c>
      <c r="H51" s="24">
        <v>9.0218109999999994E-3</v>
      </c>
      <c r="I51" s="17">
        <f t="shared" si="0"/>
        <v>30.729999999999997</v>
      </c>
      <c r="J51" s="18">
        <f t="shared" si="1"/>
        <v>30.729999999999997</v>
      </c>
      <c r="K51" s="19">
        <f t="shared" si="2"/>
        <v>30.729999999999997</v>
      </c>
    </row>
    <row r="52" spans="1:13" x14ac:dyDescent="0.3">
      <c r="A52" s="9">
        <v>20241115</v>
      </c>
      <c r="B52" s="9">
        <v>63.82</v>
      </c>
      <c r="C52" s="9">
        <v>12.33</v>
      </c>
      <c r="D52" s="9">
        <v>0.69</v>
      </c>
      <c r="E52" s="9">
        <v>0.92</v>
      </c>
      <c r="F52" s="20">
        <v>-90</v>
      </c>
      <c r="G52" s="20">
        <v>1.7130197E-2</v>
      </c>
      <c r="H52" s="21">
        <v>8.551075E-3</v>
      </c>
      <c r="I52" s="12">
        <f t="shared" ref="I52:I96" si="3">F52-$B$52</f>
        <v>-153.82</v>
      </c>
      <c r="J52" s="11">
        <f t="shared" si="1"/>
        <v>26.180000000000007</v>
      </c>
      <c r="K52" s="12">
        <f>MIN(ABS(F52-$B$52), ABS(F52-180-$B$52), ABS(F52+180-$B$52))</f>
        <v>26.18</v>
      </c>
      <c r="L52" s="13" cm="1">
        <f t="array" ref="L52">SQRT(SUMPRODUCT(G52:G96,K52:K96*K52:K96))</f>
        <v>31.412530150493726</v>
      </c>
      <c r="M52" s="14" cm="1">
        <f t="array" ref="M52">SUMPRODUCT(G52:G96,ABS(K52:K96))</f>
        <v>22.051876086496787</v>
      </c>
    </row>
    <row r="53" spans="1:13" x14ac:dyDescent="0.3">
      <c r="F53" s="20">
        <v>-85.909090909</v>
      </c>
      <c r="G53" s="20">
        <v>1.5026975999999999E-2</v>
      </c>
      <c r="H53" s="21">
        <v>8.551075E-3</v>
      </c>
      <c r="I53" s="12">
        <f t="shared" si="3"/>
        <v>-149.72909090900001</v>
      </c>
      <c r="J53" s="11">
        <f t="shared" si="1"/>
        <v>30.270909090999993</v>
      </c>
      <c r="K53" s="12">
        <f t="shared" ref="K53:K96" si="4">MIN(ABS(F53-$B$52), ABS(F53-180-$B$52), ABS(F53+180-$B$52))</f>
        <v>30.270909091</v>
      </c>
    </row>
    <row r="54" spans="1:13" x14ac:dyDescent="0.3">
      <c r="F54" s="20">
        <v>-81.818181817999999</v>
      </c>
      <c r="G54" s="20">
        <v>1.2437902000000001E-2</v>
      </c>
      <c r="H54" s="21">
        <v>8.551075E-3</v>
      </c>
      <c r="I54" s="12">
        <f t="shared" si="3"/>
        <v>-145.63818181799999</v>
      </c>
      <c r="J54" s="11">
        <f t="shared" si="1"/>
        <v>34.361818182000007</v>
      </c>
      <c r="K54" s="12">
        <f t="shared" si="4"/>
        <v>34.361818182</v>
      </c>
    </row>
    <row r="55" spans="1:13" x14ac:dyDescent="0.3">
      <c r="F55" s="20">
        <v>-77.727272726999999</v>
      </c>
      <c r="G55" s="20">
        <v>1.0783101E-2</v>
      </c>
      <c r="H55" s="21">
        <v>8.551075E-3</v>
      </c>
      <c r="I55" s="12">
        <f t="shared" si="3"/>
        <v>-141.54727272700001</v>
      </c>
      <c r="J55" s="11">
        <f t="shared" si="1"/>
        <v>38.452727272999994</v>
      </c>
      <c r="K55" s="12">
        <f t="shared" si="4"/>
        <v>38.452727273000001</v>
      </c>
      <c r="L55">
        <f>C52/L52</f>
        <v>0.39251852496212258</v>
      </c>
    </row>
    <row r="56" spans="1:13" x14ac:dyDescent="0.3">
      <c r="F56" s="20">
        <v>-73.636363635999999</v>
      </c>
      <c r="G56" s="20">
        <v>9.5190029999999998E-3</v>
      </c>
      <c r="H56" s="21">
        <v>8.551075E-3</v>
      </c>
      <c r="I56" s="12">
        <f t="shared" si="3"/>
        <v>-137.45636363599999</v>
      </c>
      <c r="J56" s="11">
        <f t="shared" si="1"/>
        <v>42.543636364000008</v>
      </c>
      <c r="K56" s="12">
        <f t="shared" si="4"/>
        <v>42.543636364000001</v>
      </c>
    </row>
    <row r="57" spans="1:13" x14ac:dyDescent="0.3">
      <c r="F57" s="20">
        <v>-69.545454544999998</v>
      </c>
      <c r="G57" s="20">
        <v>8.8950509999999993E-3</v>
      </c>
      <c r="H57" s="21">
        <v>8.551075E-3</v>
      </c>
      <c r="I57" s="12">
        <f t="shared" si="3"/>
        <v>-133.36545454500001</v>
      </c>
      <c r="J57" s="11">
        <f t="shared" si="1"/>
        <v>46.634545454999994</v>
      </c>
      <c r="K57" s="12">
        <f t="shared" si="4"/>
        <v>46.634545455000001</v>
      </c>
    </row>
    <row r="58" spans="1:13" x14ac:dyDescent="0.3">
      <c r="F58" s="20">
        <v>-65.454545455000002</v>
      </c>
      <c r="G58" s="20">
        <v>8.3805330000000008E-3</v>
      </c>
      <c r="H58" s="21">
        <v>8.551075E-3</v>
      </c>
      <c r="I58" s="12">
        <f t="shared" si="3"/>
        <v>-129.27454545500001</v>
      </c>
      <c r="J58" s="11">
        <f t="shared" si="1"/>
        <v>50.725454544999991</v>
      </c>
      <c r="K58" s="12">
        <f t="shared" si="4"/>
        <v>50.725454544999998</v>
      </c>
    </row>
    <row r="59" spans="1:13" x14ac:dyDescent="0.3">
      <c r="F59" s="20">
        <v>-61.363636364000001</v>
      </c>
      <c r="G59" s="20">
        <v>8.1934E-3</v>
      </c>
      <c r="H59" s="21">
        <v>8.551075E-3</v>
      </c>
      <c r="I59" s="12">
        <f t="shared" si="3"/>
        <v>-125.18363636399999</v>
      </c>
      <c r="J59" s="11">
        <f t="shared" si="1"/>
        <v>54.816363636000005</v>
      </c>
      <c r="K59" s="12">
        <f t="shared" si="4"/>
        <v>54.816363635999998</v>
      </c>
    </row>
    <row r="60" spans="1:13" x14ac:dyDescent="0.3">
      <c r="F60" s="20">
        <v>-57.272727273000001</v>
      </c>
      <c r="G60" s="20">
        <v>7.6983149999999998E-3</v>
      </c>
      <c r="H60" s="21">
        <v>8.551075E-3</v>
      </c>
      <c r="I60" s="12">
        <f t="shared" si="3"/>
        <v>-121.09272727300001</v>
      </c>
      <c r="J60" s="11">
        <f t="shared" si="1"/>
        <v>58.907272726999992</v>
      </c>
      <c r="K60" s="12">
        <f t="shared" si="4"/>
        <v>58.907272726999999</v>
      </c>
    </row>
    <row r="61" spans="1:13" x14ac:dyDescent="0.3">
      <c r="F61" s="20">
        <v>-53.181818182000001</v>
      </c>
      <c r="G61" s="20">
        <v>7.3915200000000004E-3</v>
      </c>
      <c r="H61" s="21">
        <v>8.551075E-3</v>
      </c>
      <c r="I61" s="12">
        <f t="shared" si="3"/>
        <v>-117.00181818199999</v>
      </c>
      <c r="J61" s="11">
        <f t="shared" si="1"/>
        <v>62.998181818000006</v>
      </c>
      <c r="K61" s="12">
        <f t="shared" si="4"/>
        <v>62.998181817999999</v>
      </c>
    </row>
    <row r="62" spans="1:13" x14ac:dyDescent="0.3">
      <c r="F62" s="20">
        <v>-49.090909091</v>
      </c>
      <c r="G62" s="20">
        <v>6.8604649999999996E-3</v>
      </c>
      <c r="H62" s="21">
        <v>8.551075E-3</v>
      </c>
      <c r="I62" s="12">
        <f t="shared" si="3"/>
        <v>-112.91090909100001</v>
      </c>
      <c r="J62" s="11">
        <f t="shared" si="1"/>
        <v>67.089090908999992</v>
      </c>
      <c r="K62" s="12">
        <f t="shared" si="4"/>
        <v>67.089090908999992</v>
      </c>
    </row>
    <row r="63" spans="1:13" x14ac:dyDescent="0.3">
      <c r="F63" s="20">
        <v>-45</v>
      </c>
      <c r="G63" s="20">
        <v>6.723906E-3</v>
      </c>
      <c r="H63" s="21">
        <v>8.551075E-3</v>
      </c>
      <c r="I63" s="12">
        <f t="shared" si="3"/>
        <v>-108.82</v>
      </c>
      <c r="J63" s="11">
        <f t="shared" si="1"/>
        <v>71.180000000000007</v>
      </c>
      <c r="K63" s="12">
        <f t="shared" si="4"/>
        <v>71.180000000000007</v>
      </c>
    </row>
    <row r="64" spans="1:13" x14ac:dyDescent="0.3">
      <c r="F64" s="20">
        <v>-40.909090909</v>
      </c>
      <c r="G64" s="20">
        <v>6.3392930000000002E-3</v>
      </c>
      <c r="H64" s="21">
        <v>8.551075E-3</v>
      </c>
      <c r="I64" s="12">
        <f t="shared" si="3"/>
        <v>-104.72909090900001</v>
      </c>
      <c r="J64" s="11">
        <f t="shared" si="1"/>
        <v>75.270909090999993</v>
      </c>
      <c r="K64" s="12">
        <f t="shared" si="4"/>
        <v>75.270909091000021</v>
      </c>
    </row>
    <row r="65" spans="6:11" x14ac:dyDescent="0.3">
      <c r="F65" s="20">
        <v>-36.818181817999999</v>
      </c>
      <c r="G65" s="20">
        <v>6.3803250000000001E-3</v>
      </c>
      <c r="H65" s="21">
        <v>8.551075E-3</v>
      </c>
      <c r="I65" s="12">
        <f t="shared" si="3"/>
        <v>-100.63818181799999</v>
      </c>
      <c r="J65" s="11">
        <f t="shared" si="1"/>
        <v>79.361818182000007</v>
      </c>
      <c r="K65" s="12">
        <f t="shared" si="4"/>
        <v>79.361818182000007</v>
      </c>
    </row>
    <row r="66" spans="6:11" x14ac:dyDescent="0.3">
      <c r="F66" s="20">
        <v>-32.727272726999999</v>
      </c>
      <c r="G66" s="20">
        <v>6.2736279999999998E-3</v>
      </c>
      <c r="H66" s="21">
        <v>8.551075E-3</v>
      </c>
      <c r="I66" s="12">
        <f t="shared" si="3"/>
        <v>-96.547272727000006</v>
      </c>
      <c r="J66" s="11">
        <f t="shared" si="1"/>
        <v>83.452727272999994</v>
      </c>
      <c r="K66" s="12">
        <f t="shared" si="4"/>
        <v>83.452727272999994</v>
      </c>
    </row>
    <row r="67" spans="6:11" x14ac:dyDescent="0.3">
      <c r="F67" s="20">
        <v>-28.636363635999999</v>
      </c>
      <c r="G67" s="20">
        <v>6.3505339999999997E-3</v>
      </c>
      <c r="H67" s="21">
        <v>8.551075E-3</v>
      </c>
      <c r="I67" s="12">
        <f t="shared" si="3"/>
        <v>-92.456363635999992</v>
      </c>
      <c r="J67" s="11">
        <f t="shared" si="1"/>
        <v>87.543636364000008</v>
      </c>
      <c r="K67" s="12">
        <f t="shared" si="4"/>
        <v>87.543636364000008</v>
      </c>
    </row>
    <row r="68" spans="6:11" x14ac:dyDescent="0.3">
      <c r="F68" s="20">
        <v>-24.545454544999998</v>
      </c>
      <c r="G68" s="20">
        <v>6.631746E-3</v>
      </c>
      <c r="H68" s="21">
        <v>8.551075E-3</v>
      </c>
      <c r="I68" s="12">
        <f t="shared" si="3"/>
        <v>-88.365454545000006</v>
      </c>
      <c r="J68" s="11">
        <f t="shared" si="1"/>
        <v>-88.365454545000006</v>
      </c>
      <c r="K68" s="12">
        <f t="shared" si="4"/>
        <v>88.365454545000006</v>
      </c>
    </row>
    <row r="69" spans="6:11" x14ac:dyDescent="0.3">
      <c r="F69" s="20">
        <v>-20.454545455000002</v>
      </c>
      <c r="G69" s="20">
        <v>6.6290699999999999E-3</v>
      </c>
      <c r="H69" s="21">
        <v>8.551075E-3</v>
      </c>
      <c r="I69" s="12">
        <f t="shared" si="3"/>
        <v>-84.274545455000009</v>
      </c>
      <c r="J69" s="11">
        <f t="shared" si="1"/>
        <v>-84.274545455000009</v>
      </c>
      <c r="K69" s="12">
        <f t="shared" si="4"/>
        <v>84.274545455000009</v>
      </c>
    </row>
    <row r="70" spans="6:11" x14ac:dyDescent="0.3">
      <c r="F70" s="20">
        <v>-16.363636364000001</v>
      </c>
      <c r="G70" s="20">
        <v>6.536104E-3</v>
      </c>
      <c r="H70" s="21">
        <v>8.551075E-3</v>
      </c>
      <c r="I70" s="12">
        <f t="shared" si="3"/>
        <v>-80.183636363999995</v>
      </c>
      <c r="J70" s="11">
        <f t="shared" si="1"/>
        <v>-80.183636363999995</v>
      </c>
      <c r="K70" s="12">
        <f t="shared" si="4"/>
        <v>80.183636363999995</v>
      </c>
    </row>
    <row r="71" spans="6:11" x14ac:dyDescent="0.3">
      <c r="F71" s="20">
        <v>-12.272727272999999</v>
      </c>
      <c r="G71" s="20">
        <v>6.6992889999999998E-3</v>
      </c>
      <c r="H71" s="21">
        <v>8.551075E-3</v>
      </c>
      <c r="I71" s="12">
        <f t="shared" si="3"/>
        <v>-76.092727272999994</v>
      </c>
      <c r="J71" s="11">
        <f t="shared" ref="J71:J134" si="5">IF(I71&gt;90,-90+(I71-90), IF(-I71&gt;90,90+(I71+90),I71))</f>
        <v>-76.092727272999994</v>
      </c>
      <c r="K71" s="12">
        <f t="shared" si="4"/>
        <v>76.092727272999994</v>
      </c>
    </row>
    <row r="72" spans="6:11" x14ac:dyDescent="0.3">
      <c r="F72" s="20">
        <v>-8.1818181820000007</v>
      </c>
      <c r="G72" s="20">
        <v>7.3022479999999999E-3</v>
      </c>
      <c r="H72" s="21">
        <v>8.5510780000000002E-3</v>
      </c>
      <c r="I72" s="12">
        <f t="shared" si="3"/>
        <v>-72.001818181999994</v>
      </c>
      <c r="J72" s="11">
        <f t="shared" si="5"/>
        <v>-72.001818181999994</v>
      </c>
      <c r="K72" s="12">
        <f t="shared" si="4"/>
        <v>72.001818181999994</v>
      </c>
    </row>
    <row r="73" spans="6:11" x14ac:dyDescent="0.3">
      <c r="F73" s="20">
        <v>-4.0909090910000003</v>
      </c>
      <c r="G73" s="20">
        <v>7.645018E-3</v>
      </c>
      <c r="H73" s="21">
        <v>8.5510959999999994E-3</v>
      </c>
      <c r="I73" s="12">
        <f t="shared" si="3"/>
        <v>-67.910909091000008</v>
      </c>
      <c r="J73" s="11">
        <f t="shared" si="5"/>
        <v>-67.910909091000008</v>
      </c>
      <c r="K73" s="12">
        <f t="shared" si="4"/>
        <v>67.910909091000008</v>
      </c>
    </row>
    <row r="74" spans="6:11" x14ac:dyDescent="0.3">
      <c r="F74" s="20">
        <v>0</v>
      </c>
      <c r="G74" s="20">
        <v>8.2707270000000003E-3</v>
      </c>
      <c r="H74" s="21">
        <v>8.5511990000000006E-3</v>
      </c>
      <c r="I74" s="12">
        <f t="shared" si="3"/>
        <v>-63.82</v>
      </c>
      <c r="J74" s="11">
        <f t="shared" si="5"/>
        <v>-63.82</v>
      </c>
      <c r="K74" s="12">
        <f t="shared" si="4"/>
        <v>63.82</v>
      </c>
    </row>
    <row r="75" spans="6:11" x14ac:dyDescent="0.3">
      <c r="F75" s="20">
        <v>4.0909090910000003</v>
      </c>
      <c r="G75" s="20">
        <v>8.2664109999999996E-3</v>
      </c>
      <c r="H75" s="21">
        <v>8.5517319999999994E-3</v>
      </c>
      <c r="I75" s="12">
        <f t="shared" si="3"/>
        <v>-59.729090909</v>
      </c>
      <c r="J75" s="11">
        <f t="shared" si="5"/>
        <v>-59.729090909</v>
      </c>
      <c r="K75" s="12">
        <f t="shared" si="4"/>
        <v>59.729090909</v>
      </c>
    </row>
    <row r="76" spans="6:11" x14ac:dyDescent="0.3">
      <c r="F76" s="20">
        <v>8.1818181820000007</v>
      </c>
      <c r="G76" s="20">
        <v>7.8904119999999994E-3</v>
      </c>
      <c r="H76" s="21">
        <v>8.5541820000000005E-3</v>
      </c>
      <c r="I76" s="12">
        <f t="shared" si="3"/>
        <v>-55.638181818</v>
      </c>
      <c r="J76" s="11">
        <f t="shared" si="5"/>
        <v>-55.638181818</v>
      </c>
      <c r="K76" s="12">
        <f t="shared" si="4"/>
        <v>55.638181818</v>
      </c>
    </row>
    <row r="77" spans="6:11" x14ac:dyDescent="0.3">
      <c r="F77" s="20">
        <v>12.272727272999999</v>
      </c>
      <c r="G77" s="20">
        <v>8.0703170000000005E-3</v>
      </c>
      <c r="H77" s="21">
        <v>8.5642240000000005E-3</v>
      </c>
      <c r="I77" s="12">
        <f t="shared" si="3"/>
        <v>-51.547272726999999</v>
      </c>
      <c r="J77" s="11">
        <f t="shared" si="5"/>
        <v>-51.547272726999999</v>
      </c>
      <c r="K77" s="12">
        <f t="shared" si="4"/>
        <v>51.547272726999999</v>
      </c>
    </row>
    <row r="78" spans="6:11" x14ac:dyDescent="0.3">
      <c r="F78" s="20">
        <v>16.363636364000001</v>
      </c>
      <c r="G78" s="20">
        <v>8.7298989999999993E-3</v>
      </c>
      <c r="H78" s="21">
        <v>8.6009150000000006E-3</v>
      </c>
      <c r="I78" s="12">
        <f t="shared" si="3"/>
        <v>-47.456363635999999</v>
      </c>
      <c r="J78" s="11">
        <f t="shared" si="5"/>
        <v>-47.456363635999999</v>
      </c>
      <c r="K78" s="12">
        <f t="shared" si="4"/>
        <v>47.456363635999999</v>
      </c>
    </row>
    <row r="79" spans="6:11" x14ac:dyDescent="0.3">
      <c r="F79" s="20">
        <v>20.454545455000002</v>
      </c>
      <c r="G79" s="20">
        <v>1.0051266E-2</v>
      </c>
      <c r="H79" s="21">
        <v>8.7202879999999997E-3</v>
      </c>
      <c r="I79" s="12">
        <f t="shared" si="3"/>
        <v>-43.365454544999999</v>
      </c>
      <c r="J79" s="11">
        <f t="shared" si="5"/>
        <v>-43.365454544999999</v>
      </c>
      <c r="K79" s="12">
        <f t="shared" si="4"/>
        <v>43.365454544999999</v>
      </c>
    </row>
    <row r="80" spans="6:11" x14ac:dyDescent="0.3">
      <c r="F80" s="20">
        <v>24.545454544999998</v>
      </c>
      <c r="G80" s="20">
        <v>1.1348331E-2</v>
      </c>
      <c r="H80" s="21">
        <v>9.0656750000000005E-3</v>
      </c>
      <c r="I80" s="12">
        <f t="shared" si="3"/>
        <v>-39.274545455000002</v>
      </c>
      <c r="J80" s="11">
        <f t="shared" si="5"/>
        <v>-39.274545455000002</v>
      </c>
      <c r="K80" s="12">
        <f t="shared" si="4"/>
        <v>39.274545455000002</v>
      </c>
    </row>
    <row r="81" spans="6:11" x14ac:dyDescent="0.3">
      <c r="F81" s="20">
        <v>28.636363635999999</v>
      </c>
      <c r="G81" s="20">
        <v>1.3375000999999999E-2</v>
      </c>
      <c r="H81" s="21">
        <v>9.9528680000000001E-3</v>
      </c>
      <c r="I81" s="12">
        <f t="shared" si="3"/>
        <v>-35.183636364000002</v>
      </c>
      <c r="J81" s="11">
        <f t="shared" si="5"/>
        <v>-35.183636364000002</v>
      </c>
      <c r="K81" s="12">
        <f t="shared" si="4"/>
        <v>35.183636364000002</v>
      </c>
    </row>
    <row r="82" spans="6:11" x14ac:dyDescent="0.3">
      <c r="F82" s="20">
        <v>32.727272726999999</v>
      </c>
      <c r="G82" s="20">
        <v>1.5726866999999999E-2</v>
      </c>
      <c r="H82" s="21">
        <v>1.1971488000000001E-2</v>
      </c>
      <c r="I82" s="12">
        <f t="shared" si="3"/>
        <v>-31.092727273000001</v>
      </c>
      <c r="J82" s="11">
        <f t="shared" si="5"/>
        <v>-31.092727273000001</v>
      </c>
      <c r="K82" s="12">
        <f t="shared" si="4"/>
        <v>31.092727273000001</v>
      </c>
    </row>
    <row r="83" spans="6:11" x14ac:dyDescent="0.3">
      <c r="F83" s="20">
        <v>36.818181817999999</v>
      </c>
      <c r="G83" s="20">
        <v>1.6628252E-2</v>
      </c>
      <c r="H83" s="21">
        <v>1.6026797999999998E-2</v>
      </c>
      <c r="I83" s="12">
        <f t="shared" si="3"/>
        <v>-27.001818182000001</v>
      </c>
      <c r="J83" s="11">
        <f t="shared" si="5"/>
        <v>-27.001818182000001</v>
      </c>
      <c r="K83" s="12">
        <f t="shared" si="4"/>
        <v>27.001818182000001</v>
      </c>
    </row>
    <row r="84" spans="6:11" x14ac:dyDescent="0.3">
      <c r="F84" s="20">
        <v>40.909090909</v>
      </c>
      <c r="G84" s="20">
        <v>2.1497082000000001E-2</v>
      </c>
      <c r="H84" s="21">
        <v>2.3186591999999999E-2</v>
      </c>
      <c r="I84" s="12">
        <f t="shared" si="3"/>
        <v>-22.910909091000001</v>
      </c>
      <c r="J84" s="11">
        <f t="shared" si="5"/>
        <v>-22.910909091000001</v>
      </c>
      <c r="K84" s="12">
        <f t="shared" si="4"/>
        <v>22.910909091000001</v>
      </c>
    </row>
    <row r="85" spans="6:11" x14ac:dyDescent="0.3">
      <c r="F85" s="20">
        <v>45</v>
      </c>
      <c r="G85" s="20">
        <v>3.2823933999999999E-2</v>
      </c>
      <c r="H85" s="21">
        <v>3.4216181999999998E-2</v>
      </c>
      <c r="I85" s="12">
        <f t="shared" si="3"/>
        <v>-18.82</v>
      </c>
      <c r="J85" s="11">
        <f t="shared" si="5"/>
        <v>-18.82</v>
      </c>
      <c r="K85" s="12">
        <f t="shared" si="4"/>
        <v>18.82</v>
      </c>
    </row>
    <row r="86" spans="6:11" x14ac:dyDescent="0.3">
      <c r="F86" s="20">
        <v>49.090909091</v>
      </c>
      <c r="G86" s="20">
        <v>4.6325527999999998E-2</v>
      </c>
      <c r="H86" s="21">
        <v>4.8865292999999997E-2</v>
      </c>
      <c r="I86" s="12">
        <f t="shared" si="3"/>
        <v>-14.729090909</v>
      </c>
      <c r="J86" s="11">
        <f t="shared" si="5"/>
        <v>-14.729090909</v>
      </c>
      <c r="K86" s="12">
        <f t="shared" si="4"/>
        <v>14.729090909</v>
      </c>
    </row>
    <row r="87" spans="6:11" x14ac:dyDescent="0.3">
      <c r="F87" s="20">
        <v>53.181818182000001</v>
      </c>
      <c r="G87" s="20">
        <v>8.2574947999999995E-2</v>
      </c>
      <c r="H87" s="21">
        <v>6.5273340999999999E-2</v>
      </c>
      <c r="I87" s="12">
        <f t="shared" si="3"/>
        <v>-10.638181818</v>
      </c>
      <c r="J87" s="11">
        <f t="shared" si="5"/>
        <v>-10.638181818</v>
      </c>
      <c r="K87" s="12">
        <f t="shared" si="4"/>
        <v>10.638181818</v>
      </c>
    </row>
    <row r="88" spans="6:11" x14ac:dyDescent="0.3">
      <c r="F88" s="20">
        <v>57.272727273000001</v>
      </c>
      <c r="G88" s="20">
        <v>8.0653053000000002E-2</v>
      </c>
      <c r="H88" s="21">
        <v>8.0038405000000007E-2</v>
      </c>
      <c r="I88" s="12">
        <f t="shared" si="3"/>
        <v>-6.5472727269999993</v>
      </c>
      <c r="J88" s="11">
        <f t="shared" si="5"/>
        <v>-6.5472727269999993</v>
      </c>
      <c r="K88" s="12">
        <f t="shared" si="4"/>
        <v>6.5472727269999993</v>
      </c>
    </row>
    <row r="89" spans="6:11" x14ac:dyDescent="0.3">
      <c r="F89" s="20">
        <v>61.363636364000001</v>
      </c>
      <c r="G89" s="20">
        <v>6.5005685999999993E-2</v>
      </c>
      <c r="H89" s="21">
        <v>8.9253157999999999E-2</v>
      </c>
      <c r="I89" s="12">
        <f t="shared" si="3"/>
        <v>-2.456363635999999</v>
      </c>
      <c r="J89" s="11">
        <f t="shared" si="5"/>
        <v>-2.456363635999999</v>
      </c>
      <c r="K89" s="12">
        <f t="shared" si="4"/>
        <v>2.456363635999999</v>
      </c>
    </row>
    <row r="90" spans="6:11" x14ac:dyDescent="0.3">
      <c r="F90" s="20">
        <v>65.454545455000002</v>
      </c>
      <c r="G90" s="20">
        <v>8.0175894999999997E-2</v>
      </c>
      <c r="H90" s="21">
        <v>9.0156791E-2</v>
      </c>
      <c r="I90" s="12">
        <f t="shared" si="3"/>
        <v>1.6345454550000014</v>
      </c>
      <c r="J90" s="11">
        <f t="shared" si="5"/>
        <v>1.6345454550000014</v>
      </c>
      <c r="K90" s="12">
        <f t="shared" si="4"/>
        <v>1.6345454550000014</v>
      </c>
    </row>
    <row r="91" spans="6:11" x14ac:dyDescent="0.3">
      <c r="F91" s="20">
        <v>69.545454544999998</v>
      </c>
      <c r="G91" s="20">
        <v>0.112591262</v>
      </c>
      <c r="H91" s="21">
        <v>8.2466756000000002E-2</v>
      </c>
      <c r="I91" s="12">
        <f t="shared" si="3"/>
        <v>5.7254545449999981</v>
      </c>
      <c r="J91" s="11">
        <f t="shared" si="5"/>
        <v>5.7254545449999981</v>
      </c>
      <c r="K91" s="12">
        <f t="shared" si="4"/>
        <v>5.7254545449999981</v>
      </c>
    </row>
    <row r="92" spans="6:11" x14ac:dyDescent="0.3">
      <c r="F92" s="20">
        <v>73.636363635999999</v>
      </c>
      <c r="G92" s="20">
        <v>7.2928813999999995E-2</v>
      </c>
      <c r="H92" s="21">
        <v>6.8520895999999998E-2</v>
      </c>
      <c r="I92" s="12">
        <f t="shared" si="3"/>
        <v>9.8163636359999984</v>
      </c>
      <c r="J92" s="11">
        <f t="shared" si="5"/>
        <v>9.8163636359999984</v>
      </c>
      <c r="K92" s="12">
        <f t="shared" si="4"/>
        <v>9.8163636359999984</v>
      </c>
    </row>
    <row r="93" spans="6:11" x14ac:dyDescent="0.3">
      <c r="F93" s="20">
        <v>77.727272726999999</v>
      </c>
      <c r="G93" s="20">
        <v>4.5516266999999999E-2</v>
      </c>
      <c r="H93" s="21">
        <v>5.2133269000000003E-2</v>
      </c>
      <c r="I93" s="12">
        <f t="shared" si="3"/>
        <v>13.907272726999999</v>
      </c>
      <c r="J93" s="11">
        <f t="shared" si="5"/>
        <v>13.907272726999999</v>
      </c>
      <c r="K93" s="12">
        <f t="shared" si="4"/>
        <v>13.907272726999999</v>
      </c>
    </row>
    <row r="94" spans="6:11" x14ac:dyDescent="0.3">
      <c r="F94" s="20">
        <v>81.818181817999999</v>
      </c>
      <c r="G94" s="20">
        <v>2.891065E-2</v>
      </c>
      <c r="H94" s="21">
        <v>3.6921483999999997E-2</v>
      </c>
      <c r="I94" s="12">
        <f t="shared" si="3"/>
        <v>17.998181817999999</v>
      </c>
      <c r="J94" s="11">
        <f t="shared" si="5"/>
        <v>17.998181817999999</v>
      </c>
      <c r="K94" s="12">
        <f t="shared" si="4"/>
        <v>17.998181817999999</v>
      </c>
    </row>
    <row r="95" spans="6:11" x14ac:dyDescent="0.3">
      <c r="F95" s="20">
        <v>85.909090909</v>
      </c>
      <c r="G95" s="20">
        <v>1.9681575E-2</v>
      </c>
      <c r="H95" s="21">
        <v>2.5093618000000002E-2</v>
      </c>
      <c r="I95" s="12">
        <f t="shared" si="3"/>
        <v>22.089090908999999</v>
      </c>
      <c r="J95" s="11">
        <f t="shared" si="5"/>
        <v>22.089090908999999</v>
      </c>
      <c r="K95" s="12">
        <f t="shared" si="4"/>
        <v>22.089090908999999</v>
      </c>
    </row>
    <row r="96" spans="6:11" s="15" customFormat="1" x14ac:dyDescent="0.3">
      <c r="F96" s="23">
        <v>90</v>
      </c>
      <c r="G96" s="23">
        <v>1.7130197E-2</v>
      </c>
      <c r="H96" s="24">
        <v>1.7191181999999999E-2</v>
      </c>
      <c r="I96" s="19">
        <f t="shared" si="3"/>
        <v>26.18</v>
      </c>
      <c r="J96" s="18">
        <f t="shared" si="5"/>
        <v>26.18</v>
      </c>
      <c r="K96" s="12">
        <f t="shared" si="4"/>
        <v>26.18</v>
      </c>
    </row>
    <row r="97" spans="1:13" x14ac:dyDescent="0.3">
      <c r="A97" s="9">
        <v>20241115</v>
      </c>
      <c r="B97" s="9">
        <v>60.96</v>
      </c>
      <c r="C97" s="9">
        <v>13.13</v>
      </c>
      <c r="D97" s="9">
        <v>0.78</v>
      </c>
      <c r="E97" s="9">
        <v>0.87</v>
      </c>
      <c r="F97" s="20">
        <v>-90</v>
      </c>
      <c r="G97" s="20">
        <v>1.2276624999999999E-2</v>
      </c>
      <c r="H97" s="21">
        <v>5.8096010000000002E-3</v>
      </c>
      <c r="I97" s="12">
        <f t="shared" ref="I97:I141" si="6">F97-$B$97</f>
        <v>-150.96</v>
      </c>
      <c r="J97" s="11">
        <f t="shared" si="5"/>
        <v>29.039999999999992</v>
      </c>
      <c r="K97" s="12">
        <f>MIN(ABS(F97-$B$97), ABS(F97-180-$B$97), ABS(F97+180-$B$97))</f>
        <v>29.04</v>
      </c>
      <c r="L97" s="13" cm="1">
        <f t="array" ref="L97">SQRT(SUMPRODUCT(G97:G141,K97:K141*K97:K141))</f>
        <v>28.013442800197183</v>
      </c>
      <c r="M97" s="14" cm="1">
        <f t="array" ref="M97">SUMPRODUCT(G97:G141,ABS(K97:K141))</f>
        <v>19.1371519464243</v>
      </c>
    </row>
    <row r="98" spans="1:13" x14ac:dyDescent="0.3">
      <c r="F98" s="20">
        <v>-85.909090909</v>
      </c>
      <c r="G98" s="20">
        <v>9.3732120000000006E-3</v>
      </c>
      <c r="H98" s="21">
        <v>5.8096010000000002E-3</v>
      </c>
      <c r="I98" s="12">
        <f t="shared" si="6"/>
        <v>-146.86909090899999</v>
      </c>
      <c r="J98" s="11">
        <f t="shared" si="5"/>
        <v>33.130909091000007</v>
      </c>
      <c r="K98" s="12">
        <f t="shared" ref="K98:K141" si="7">MIN(ABS(F98-$B$97), ABS(F98-180-$B$97), ABS(F98+180-$B$97))</f>
        <v>33.130909090999999</v>
      </c>
    </row>
    <row r="99" spans="1:13" x14ac:dyDescent="0.3">
      <c r="F99" s="20">
        <v>-81.818181817999999</v>
      </c>
      <c r="G99" s="20">
        <v>7.9871909999999994E-3</v>
      </c>
      <c r="H99" s="21">
        <v>5.8096010000000002E-3</v>
      </c>
      <c r="I99" s="12">
        <f t="shared" si="6"/>
        <v>-142.77818181800001</v>
      </c>
      <c r="J99" s="11">
        <f t="shared" si="5"/>
        <v>37.221818181999993</v>
      </c>
      <c r="K99" s="12">
        <f t="shared" si="7"/>
        <v>37.221818182</v>
      </c>
    </row>
    <row r="100" spans="1:13" x14ac:dyDescent="0.3">
      <c r="F100" s="20">
        <v>-77.727272726999999</v>
      </c>
      <c r="G100" s="20">
        <v>7.3750559999999996E-3</v>
      </c>
      <c r="H100" s="21">
        <v>5.8096010000000002E-3</v>
      </c>
      <c r="I100" s="12">
        <f t="shared" si="6"/>
        <v>-138.68727272699999</v>
      </c>
      <c r="J100" s="11">
        <f t="shared" si="5"/>
        <v>41.312727273000007</v>
      </c>
      <c r="K100" s="12">
        <f t="shared" si="7"/>
        <v>41.312727273</v>
      </c>
    </row>
    <row r="101" spans="1:13" x14ac:dyDescent="0.3">
      <c r="F101" s="20">
        <v>-73.636363635999999</v>
      </c>
      <c r="G101" s="20">
        <v>6.5227779999999999E-3</v>
      </c>
      <c r="H101" s="21">
        <v>5.8096010000000002E-3</v>
      </c>
      <c r="I101" s="12">
        <f t="shared" si="6"/>
        <v>-134.59636363600001</v>
      </c>
      <c r="J101" s="11">
        <f t="shared" si="5"/>
        <v>45.403636363999993</v>
      </c>
      <c r="K101" s="12">
        <f t="shared" si="7"/>
        <v>45.403636364</v>
      </c>
      <c r="L101">
        <f>C97/L97</f>
        <v>0.46870354685242688</v>
      </c>
    </row>
    <row r="102" spans="1:13" x14ac:dyDescent="0.3">
      <c r="F102" s="20">
        <v>-69.545454544999998</v>
      </c>
      <c r="G102" s="20">
        <v>6.0969049999999997E-3</v>
      </c>
      <c r="H102" s="21">
        <v>5.8096010000000002E-3</v>
      </c>
      <c r="I102" s="12">
        <f t="shared" si="6"/>
        <v>-130.50545454499999</v>
      </c>
      <c r="J102" s="11">
        <f t="shared" si="5"/>
        <v>49.494545455000008</v>
      </c>
      <c r="K102" s="12">
        <f t="shared" si="7"/>
        <v>49.494545455000001</v>
      </c>
    </row>
    <row r="103" spans="1:13" x14ac:dyDescent="0.3">
      <c r="F103" s="20">
        <v>-65.454545455000002</v>
      </c>
      <c r="G103" s="20">
        <v>5.9392949999999998E-3</v>
      </c>
      <c r="H103" s="21">
        <v>5.8096010000000002E-3</v>
      </c>
      <c r="I103" s="12">
        <f t="shared" si="6"/>
        <v>-126.414545455</v>
      </c>
      <c r="J103" s="11">
        <f t="shared" si="5"/>
        <v>53.585454545000005</v>
      </c>
      <c r="K103" s="12">
        <f t="shared" si="7"/>
        <v>53.585454544999997</v>
      </c>
    </row>
    <row r="104" spans="1:13" x14ac:dyDescent="0.3">
      <c r="F104" s="20">
        <v>-61.363636364000001</v>
      </c>
      <c r="G104" s="20">
        <v>5.4896279999999999E-3</v>
      </c>
      <c r="H104" s="21">
        <v>5.8096010000000002E-3</v>
      </c>
      <c r="I104" s="12">
        <f t="shared" si="6"/>
        <v>-122.32363636400001</v>
      </c>
      <c r="J104" s="11">
        <f t="shared" si="5"/>
        <v>57.676363635999991</v>
      </c>
      <c r="K104" s="12">
        <f t="shared" si="7"/>
        <v>57.676363635999998</v>
      </c>
    </row>
    <row r="105" spans="1:13" x14ac:dyDescent="0.3">
      <c r="F105" s="20">
        <v>-57.272727273000001</v>
      </c>
      <c r="G105" s="20">
        <v>5.1648350000000004E-3</v>
      </c>
      <c r="H105" s="21">
        <v>5.8096010000000002E-3</v>
      </c>
      <c r="I105" s="12">
        <f t="shared" si="6"/>
        <v>-118.23272727299999</v>
      </c>
      <c r="J105" s="11">
        <f t="shared" si="5"/>
        <v>61.767272727000005</v>
      </c>
      <c r="K105" s="12">
        <f t="shared" si="7"/>
        <v>61.767272726999998</v>
      </c>
    </row>
    <row r="106" spans="1:13" x14ac:dyDescent="0.3">
      <c r="F106" s="20">
        <v>-53.181818182000001</v>
      </c>
      <c r="G106" s="20">
        <v>5.3631470000000004E-3</v>
      </c>
      <c r="H106" s="21">
        <v>5.8096010000000002E-3</v>
      </c>
      <c r="I106" s="12">
        <f t="shared" si="6"/>
        <v>-114.14181818200001</v>
      </c>
      <c r="J106" s="11">
        <f t="shared" si="5"/>
        <v>65.858181817999991</v>
      </c>
      <c r="K106" s="12">
        <f t="shared" si="7"/>
        <v>65.858181817999991</v>
      </c>
    </row>
    <row r="107" spans="1:13" x14ac:dyDescent="0.3">
      <c r="F107" s="20">
        <v>-49.090909091</v>
      </c>
      <c r="G107" s="20">
        <v>5.1754219999999998E-3</v>
      </c>
      <c r="H107" s="21">
        <v>5.8096010000000002E-3</v>
      </c>
      <c r="I107" s="12">
        <f t="shared" si="6"/>
        <v>-110.05090909099999</v>
      </c>
      <c r="J107" s="11">
        <f t="shared" si="5"/>
        <v>69.949090909000006</v>
      </c>
      <c r="K107" s="12">
        <f t="shared" si="7"/>
        <v>69.949090908999978</v>
      </c>
    </row>
    <row r="108" spans="1:13" x14ac:dyDescent="0.3">
      <c r="F108" s="20">
        <v>-45</v>
      </c>
      <c r="G108" s="20">
        <v>5.3144919999999997E-3</v>
      </c>
      <c r="H108" s="21">
        <v>5.8096010000000002E-3</v>
      </c>
      <c r="I108" s="12">
        <f t="shared" si="6"/>
        <v>-105.96000000000001</v>
      </c>
      <c r="J108" s="11">
        <f t="shared" si="5"/>
        <v>74.039999999999992</v>
      </c>
      <c r="K108" s="12">
        <f t="shared" si="7"/>
        <v>74.039999999999992</v>
      </c>
    </row>
    <row r="109" spans="1:13" x14ac:dyDescent="0.3">
      <c r="F109" s="20">
        <v>-40.909090909</v>
      </c>
      <c r="G109" s="20">
        <v>5.0347810000000003E-3</v>
      </c>
      <c r="H109" s="21">
        <v>5.8096010000000002E-3</v>
      </c>
      <c r="I109" s="12">
        <f t="shared" si="6"/>
        <v>-101.86909090899999</v>
      </c>
      <c r="J109" s="11">
        <f t="shared" si="5"/>
        <v>78.130909091000007</v>
      </c>
      <c r="K109" s="12">
        <f t="shared" si="7"/>
        <v>78.130909091000007</v>
      </c>
    </row>
    <row r="110" spans="1:13" x14ac:dyDescent="0.3">
      <c r="F110" s="20">
        <v>-36.818181817999999</v>
      </c>
      <c r="G110" s="20">
        <v>4.929966E-3</v>
      </c>
      <c r="H110" s="21">
        <v>5.8096010000000002E-3</v>
      </c>
      <c r="I110" s="12">
        <f t="shared" si="6"/>
        <v>-97.778181818000007</v>
      </c>
      <c r="J110" s="11">
        <f t="shared" si="5"/>
        <v>82.221818181999993</v>
      </c>
      <c r="K110" s="12">
        <f t="shared" si="7"/>
        <v>82.221818181999993</v>
      </c>
    </row>
    <row r="111" spans="1:13" x14ac:dyDescent="0.3">
      <c r="F111" s="20">
        <v>-32.727272726999999</v>
      </c>
      <c r="G111" s="20">
        <v>4.8248029999999999E-3</v>
      </c>
      <c r="H111" s="21">
        <v>5.8096010000000002E-3</v>
      </c>
      <c r="I111" s="12">
        <f t="shared" si="6"/>
        <v>-93.687272726999993</v>
      </c>
      <c r="J111" s="11">
        <f t="shared" si="5"/>
        <v>86.312727273000007</v>
      </c>
      <c r="K111" s="12">
        <f t="shared" si="7"/>
        <v>86.312727272999979</v>
      </c>
    </row>
    <row r="112" spans="1:13" x14ac:dyDescent="0.3">
      <c r="F112" s="20">
        <v>-28.636363635999999</v>
      </c>
      <c r="G112" s="20">
        <v>5.0256010000000002E-3</v>
      </c>
      <c r="H112" s="21">
        <v>5.8096010000000002E-3</v>
      </c>
      <c r="I112" s="12">
        <f t="shared" si="6"/>
        <v>-89.596363636000007</v>
      </c>
      <c r="J112" s="11">
        <f t="shared" si="5"/>
        <v>-89.596363636000007</v>
      </c>
      <c r="K112" s="12">
        <f t="shared" si="7"/>
        <v>89.596363636000007</v>
      </c>
    </row>
    <row r="113" spans="6:11" x14ac:dyDescent="0.3">
      <c r="F113" s="20">
        <v>-24.545454544999998</v>
      </c>
      <c r="G113" s="20">
        <v>5.3064519999999997E-3</v>
      </c>
      <c r="H113" s="21">
        <v>5.8096010000000002E-3</v>
      </c>
      <c r="I113" s="12">
        <f t="shared" si="6"/>
        <v>-85.505454544999992</v>
      </c>
      <c r="J113" s="11">
        <f t="shared" si="5"/>
        <v>-85.505454544999992</v>
      </c>
      <c r="K113" s="12">
        <f t="shared" si="7"/>
        <v>85.505454544999992</v>
      </c>
    </row>
    <row r="114" spans="6:11" x14ac:dyDescent="0.3">
      <c r="F114" s="20">
        <v>-20.454545455000002</v>
      </c>
      <c r="G114" s="20">
        <v>5.2426219999999997E-3</v>
      </c>
      <c r="H114" s="21">
        <v>5.8096010000000002E-3</v>
      </c>
      <c r="I114" s="12">
        <f t="shared" si="6"/>
        <v>-81.414545454999995</v>
      </c>
      <c r="J114" s="11">
        <f t="shared" si="5"/>
        <v>-81.414545454999995</v>
      </c>
      <c r="K114" s="12">
        <f t="shared" si="7"/>
        <v>81.414545454999995</v>
      </c>
    </row>
    <row r="115" spans="6:11" x14ac:dyDescent="0.3">
      <c r="F115" s="20">
        <v>-16.363636364000001</v>
      </c>
      <c r="G115" s="20">
        <v>5.2630810000000002E-3</v>
      </c>
      <c r="H115" s="21">
        <v>5.809603E-3</v>
      </c>
      <c r="I115" s="12">
        <f t="shared" si="6"/>
        <v>-77.323636364000009</v>
      </c>
      <c r="J115" s="11">
        <f t="shared" si="5"/>
        <v>-77.323636364000009</v>
      </c>
      <c r="K115" s="12">
        <f t="shared" si="7"/>
        <v>77.323636364000009</v>
      </c>
    </row>
    <row r="116" spans="6:11" x14ac:dyDescent="0.3">
      <c r="F116" s="20">
        <v>-12.272727272999999</v>
      </c>
      <c r="G116" s="20">
        <v>5.3502360000000004E-3</v>
      </c>
      <c r="H116" s="21">
        <v>5.8096170000000004E-3</v>
      </c>
      <c r="I116" s="12">
        <f t="shared" si="6"/>
        <v>-73.232727272999995</v>
      </c>
      <c r="J116" s="11">
        <f t="shared" si="5"/>
        <v>-73.232727272999995</v>
      </c>
      <c r="K116" s="12">
        <f t="shared" si="7"/>
        <v>73.232727272999995</v>
      </c>
    </row>
    <row r="117" spans="6:11" x14ac:dyDescent="0.3">
      <c r="F117" s="20">
        <v>-8.1818181820000007</v>
      </c>
      <c r="G117" s="20">
        <v>5.6904959999999997E-3</v>
      </c>
      <c r="H117" s="21">
        <v>5.8096889999999998E-3</v>
      </c>
      <c r="I117" s="12">
        <f t="shared" si="6"/>
        <v>-69.141818182000009</v>
      </c>
      <c r="J117" s="11">
        <f t="shared" si="5"/>
        <v>-69.141818182000009</v>
      </c>
      <c r="K117" s="12">
        <f t="shared" si="7"/>
        <v>69.141818182000009</v>
      </c>
    </row>
    <row r="118" spans="6:11" x14ac:dyDescent="0.3">
      <c r="F118" s="20">
        <v>-4.0909090910000003</v>
      </c>
      <c r="G118" s="20">
        <v>6.0138809999999996E-3</v>
      </c>
      <c r="H118" s="21">
        <v>5.8100349999999999E-3</v>
      </c>
      <c r="I118" s="12">
        <f t="shared" si="6"/>
        <v>-65.050909090999994</v>
      </c>
      <c r="J118" s="11">
        <f t="shared" si="5"/>
        <v>-65.050909090999994</v>
      </c>
      <c r="K118" s="12">
        <f t="shared" si="7"/>
        <v>65.050909090999994</v>
      </c>
    </row>
    <row r="119" spans="6:11" x14ac:dyDescent="0.3">
      <c r="F119" s="20">
        <v>0</v>
      </c>
      <c r="G119" s="20">
        <v>5.9834989999999998E-3</v>
      </c>
      <c r="H119" s="21">
        <v>5.8115370000000003E-3</v>
      </c>
      <c r="I119" s="12">
        <f t="shared" si="6"/>
        <v>-60.96</v>
      </c>
      <c r="J119" s="11">
        <f t="shared" si="5"/>
        <v>-60.96</v>
      </c>
      <c r="K119" s="12">
        <f t="shared" si="7"/>
        <v>60.96</v>
      </c>
    </row>
    <row r="120" spans="6:11" x14ac:dyDescent="0.3">
      <c r="F120" s="20">
        <v>4.0909090910000003</v>
      </c>
      <c r="G120" s="20">
        <v>6.2180389999999999E-3</v>
      </c>
      <c r="H120" s="21">
        <v>5.8174339999999998E-3</v>
      </c>
      <c r="I120" s="12">
        <f t="shared" si="6"/>
        <v>-56.869090909000001</v>
      </c>
      <c r="J120" s="11">
        <f t="shared" si="5"/>
        <v>-56.869090909000001</v>
      </c>
      <c r="K120" s="12">
        <f t="shared" si="7"/>
        <v>56.869090909000001</v>
      </c>
    </row>
    <row r="121" spans="6:11" x14ac:dyDescent="0.3">
      <c r="F121" s="20">
        <v>8.1818181820000007</v>
      </c>
      <c r="G121" s="20">
        <v>6.4121680000000002E-3</v>
      </c>
      <c r="H121" s="21">
        <v>5.8383599999999999E-3</v>
      </c>
      <c r="I121" s="12">
        <f t="shared" si="6"/>
        <v>-52.778181818</v>
      </c>
      <c r="J121" s="11">
        <f t="shared" si="5"/>
        <v>-52.778181818</v>
      </c>
      <c r="K121" s="12">
        <f t="shared" si="7"/>
        <v>52.778181818</v>
      </c>
    </row>
    <row r="122" spans="6:11" x14ac:dyDescent="0.3">
      <c r="F122" s="20">
        <v>12.272727272999999</v>
      </c>
      <c r="G122" s="20">
        <v>6.490081E-3</v>
      </c>
      <c r="H122" s="21">
        <v>5.9054249999999997E-3</v>
      </c>
      <c r="I122" s="12">
        <f t="shared" si="6"/>
        <v>-48.687272727</v>
      </c>
      <c r="J122" s="11">
        <f t="shared" si="5"/>
        <v>-48.687272727</v>
      </c>
      <c r="K122" s="12">
        <f t="shared" si="7"/>
        <v>48.687272727</v>
      </c>
    </row>
    <row r="123" spans="6:11" x14ac:dyDescent="0.3">
      <c r="F123" s="20">
        <v>16.363636364000001</v>
      </c>
      <c r="G123" s="20">
        <v>6.9820539999999997E-3</v>
      </c>
      <c r="H123" s="21">
        <v>6.0993519999999997E-3</v>
      </c>
      <c r="I123" s="12">
        <f t="shared" si="6"/>
        <v>-44.596363636</v>
      </c>
      <c r="J123" s="11">
        <f t="shared" si="5"/>
        <v>-44.596363636</v>
      </c>
      <c r="K123" s="12">
        <f t="shared" si="7"/>
        <v>44.596363636</v>
      </c>
    </row>
    <row r="124" spans="6:11" x14ac:dyDescent="0.3">
      <c r="F124" s="20">
        <v>20.454545455000002</v>
      </c>
      <c r="G124" s="20">
        <v>8.3901210000000004E-3</v>
      </c>
      <c r="H124" s="21">
        <v>6.6047120000000004E-3</v>
      </c>
      <c r="I124" s="12">
        <f t="shared" si="6"/>
        <v>-40.505454544999999</v>
      </c>
      <c r="J124" s="11">
        <f t="shared" si="5"/>
        <v>-40.505454544999999</v>
      </c>
      <c r="K124" s="12">
        <f t="shared" si="7"/>
        <v>40.505454544999999</v>
      </c>
    </row>
    <row r="125" spans="6:11" x14ac:dyDescent="0.3">
      <c r="F125" s="20">
        <v>24.545454544999998</v>
      </c>
      <c r="G125" s="20">
        <v>9.3191390000000006E-3</v>
      </c>
      <c r="H125" s="21">
        <v>7.7896880000000003E-3</v>
      </c>
      <c r="I125" s="12">
        <f t="shared" si="6"/>
        <v>-36.414545455000003</v>
      </c>
      <c r="J125" s="11">
        <f t="shared" si="5"/>
        <v>-36.414545455000003</v>
      </c>
      <c r="K125" s="12">
        <f t="shared" si="7"/>
        <v>36.414545455000003</v>
      </c>
    </row>
    <row r="126" spans="6:11" x14ac:dyDescent="0.3">
      <c r="F126" s="20">
        <v>28.636363635999999</v>
      </c>
      <c r="G126" s="20">
        <v>1.1611023E-2</v>
      </c>
      <c r="H126" s="21">
        <v>1.028461E-2</v>
      </c>
      <c r="I126" s="12">
        <f t="shared" si="6"/>
        <v>-32.323636364000002</v>
      </c>
      <c r="J126" s="11">
        <f t="shared" si="5"/>
        <v>-32.323636364000002</v>
      </c>
      <c r="K126" s="12">
        <f t="shared" si="7"/>
        <v>32.323636364000002</v>
      </c>
    </row>
    <row r="127" spans="6:11" x14ac:dyDescent="0.3">
      <c r="F127" s="20">
        <v>32.727272726999999</v>
      </c>
      <c r="G127" s="20">
        <v>1.4512982000000001E-2</v>
      </c>
      <c r="H127" s="21">
        <v>1.4987791E-2</v>
      </c>
      <c r="I127" s="12">
        <f t="shared" si="6"/>
        <v>-28.232727273000002</v>
      </c>
      <c r="J127" s="11">
        <f t="shared" si="5"/>
        <v>-28.232727273000002</v>
      </c>
      <c r="K127" s="12">
        <f t="shared" si="7"/>
        <v>28.232727273000002</v>
      </c>
    </row>
    <row r="128" spans="6:11" x14ac:dyDescent="0.3">
      <c r="F128" s="20">
        <v>36.818181817999999</v>
      </c>
      <c r="G128" s="20">
        <v>1.9581983000000001E-2</v>
      </c>
      <c r="H128" s="21">
        <v>2.2892978000000001E-2</v>
      </c>
      <c r="I128" s="12">
        <f t="shared" si="6"/>
        <v>-24.141818182000002</v>
      </c>
      <c r="J128" s="11">
        <f t="shared" si="5"/>
        <v>-24.141818182000002</v>
      </c>
      <c r="K128" s="12">
        <f t="shared" si="7"/>
        <v>24.141818182000002</v>
      </c>
    </row>
    <row r="129" spans="1:13" x14ac:dyDescent="0.3">
      <c r="F129" s="20">
        <v>40.909090909</v>
      </c>
      <c r="G129" s="20">
        <v>2.5497596000000001E-2</v>
      </c>
      <c r="H129" s="21">
        <v>3.4666115999999997E-2</v>
      </c>
      <c r="I129" s="12">
        <f t="shared" si="6"/>
        <v>-20.050909091000001</v>
      </c>
      <c r="J129" s="11">
        <f t="shared" si="5"/>
        <v>-20.050909091000001</v>
      </c>
      <c r="K129" s="12">
        <f t="shared" si="7"/>
        <v>20.050909091000001</v>
      </c>
    </row>
    <row r="130" spans="1:13" x14ac:dyDescent="0.3">
      <c r="F130" s="20">
        <v>45</v>
      </c>
      <c r="G130" s="20">
        <v>3.9572431999999998E-2</v>
      </c>
      <c r="H130" s="21">
        <v>5.0044755000000003E-2</v>
      </c>
      <c r="I130" s="12">
        <f t="shared" si="6"/>
        <v>-15.96</v>
      </c>
      <c r="J130" s="11">
        <f t="shared" si="5"/>
        <v>-15.96</v>
      </c>
      <c r="K130" s="12">
        <f t="shared" si="7"/>
        <v>15.96</v>
      </c>
    </row>
    <row r="131" spans="1:13" x14ac:dyDescent="0.3">
      <c r="F131" s="20">
        <v>49.090909091</v>
      </c>
      <c r="G131" s="20">
        <v>7.6357481000000005E-2</v>
      </c>
      <c r="H131" s="21">
        <v>6.7347789000000005E-2</v>
      </c>
      <c r="I131" s="12">
        <f t="shared" si="6"/>
        <v>-11.869090909000001</v>
      </c>
      <c r="J131" s="11">
        <f t="shared" si="5"/>
        <v>-11.869090909000001</v>
      </c>
      <c r="K131" s="12">
        <f t="shared" si="7"/>
        <v>11.869090909000001</v>
      </c>
    </row>
    <row r="132" spans="1:13" x14ac:dyDescent="0.3">
      <c r="F132" s="20">
        <v>53.181818182000001</v>
      </c>
      <c r="G132" s="20">
        <v>0.11082049200000001</v>
      </c>
      <c r="H132" s="21">
        <v>8.3501434999999999E-2</v>
      </c>
      <c r="I132" s="12">
        <f t="shared" si="6"/>
        <v>-7.7781818180000002</v>
      </c>
      <c r="J132" s="11">
        <f t="shared" si="5"/>
        <v>-7.7781818180000002</v>
      </c>
      <c r="K132" s="12">
        <f t="shared" si="7"/>
        <v>7.7781818180000002</v>
      </c>
    </row>
    <row r="133" spans="1:13" x14ac:dyDescent="0.3">
      <c r="F133" s="20">
        <v>57.272727273000001</v>
      </c>
      <c r="G133" s="20">
        <v>9.8653658000000005E-2</v>
      </c>
      <c r="H133" s="21">
        <v>9.4823852E-2</v>
      </c>
      <c r="I133" s="12">
        <f t="shared" si="6"/>
        <v>-3.6872727269999999</v>
      </c>
      <c r="J133" s="11">
        <f t="shared" si="5"/>
        <v>-3.6872727269999999</v>
      </c>
      <c r="K133" s="12">
        <f t="shared" si="7"/>
        <v>3.6872727269999999</v>
      </c>
    </row>
    <row r="134" spans="1:13" x14ac:dyDescent="0.3">
      <c r="F134" s="20">
        <v>61.363636364000001</v>
      </c>
      <c r="G134" s="20">
        <v>6.8612113000000002E-2</v>
      </c>
      <c r="H134" s="21">
        <v>9.8364031000000005E-2</v>
      </c>
      <c r="I134" s="12">
        <f t="shared" si="6"/>
        <v>0.40363636400000047</v>
      </c>
      <c r="J134" s="11">
        <f t="shared" si="5"/>
        <v>0.40363636400000047</v>
      </c>
      <c r="K134" s="12">
        <f t="shared" si="7"/>
        <v>0.40363636400000047</v>
      </c>
    </row>
    <row r="135" spans="1:13" x14ac:dyDescent="0.3">
      <c r="F135" s="20">
        <v>65.454545455000002</v>
      </c>
      <c r="G135" s="20">
        <v>6.1825368999999998E-2</v>
      </c>
      <c r="H135" s="21">
        <v>9.3144613000000001E-2</v>
      </c>
      <c r="I135" s="12">
        <f t="shared" si="6"/>
        <v>4.4945454550000008</v>
      </c>
      <c r="J135" s="11">
        <f t="shared" ref="J135:J198" si="8">IF(I135&gt;90,-90+(I135-90), IF(-I135&gt;90,90+(I135+90),I135))</f>
        <v>4.4945454550000008</v>
      </c>
      <c r="K135" s="12">
        <f t="shared" si="7"/>
        <v>4.4945454550000008</v>
      </c>
    </row>
    <row r="136" spans="1:13" x14ac:dyDescent="0.3">
      <c r="F136" s="20">
        <v>69.545454544999998</v>
      </c>
      <c r="G136" s="20">
        <v>0.12029479899999999</v>
      </c>
      <c r="H136" s="21">
        <v>8.0597797999999998E-2</v>
      </c>
      <c r="I136" s="12">
        <f t="shared" si="6"/>
        <v>8.5854545449999975</v>
      </c>
      <c r="J136" s="11">
        <f t="shared" si="8"/>
        <v>8.5854545449999975</v>
      </c>
      <c r="K136" s="12">
        <f t="shared" si="7"/>
        <v>8.5854545449999975</v>
      </c>
    </row>
    <row r="137" spans="1:13" x14ac:dyDescent="0.3">
      <c r="F137" s="20">
        <v>73.636363635999999</v>
      </c>
      <c r="G137" s="20">
        <v>8.1519386999999999E-2</v>
      </c>
      <c r="H137" s="21">
        <v>6.3930354999999994E-2</v>
      </c>
      <c r="I137" s="12">
        <f t="shared" si="6"/>
        <v>12.676363635999998</v>
      </c>
      <c r="J137" s="11">
        <f t="shared" si="8"/>
        <v>12.676363635999998</v>
      </c>
      <c r="K137" s="12">
        <f t="shared" si="7"/>
        <v>12.676363635999998</v>
      </c>
    </row>
    <row r="138" spans="1:13" x14ac:dyDescent="0.3">
      <c r="F138" s="20">
        <v>77.727272726999999</v>
      </c>
      <c r="G138" s="20">
        <v>3.7977878999999999E-2</v>
      </c>
      <c r="H138" s="21">
        <v>4.6800072999999998E-2</v>
      </c>
      <c r="I138" s="12">
        <f t="shared" si="6"/>
        <v>16.767272726999998</v>
      </c>
      <c r="J138" s="11">
        <f t="shared" si="8"/>
        <v>16.767272726999998</v>
      </c>
      <c r="K138" s="12">
        <f t="shared" si="7"/>
        <v>16.767272726999998</v>
      </c>
    </row>
    <row r="139" spans="1:13" x14ac:dyDescent="0.3">
      <c r="F139" s="20">
        <v>81.818181817999999</v>
      </c>
      <c r="G139" s="20">
        <v>2.1826867999999999E-2</v>
      </c>
      <c r="H139" s="21">
        <v>3.2045025999999997E-2</v>
      </c>
      <c r="I139" s="12">
        <f t="shared" si="6"/>
        <v>20.858181817999998</v>
      </c>
      <c r="J139" s="11">
        <f t="shared" si="8"/>
        <v>20.858181817999998</v>
      </c>
      <c r="K139" s="12">
        <f t="shared" si="7"/>
        <v>20.858181817999998</v>
      </c>
    </row>
    <row r="140" spans="1:13" x14ac:dyDescent="0.3">
      <c r="F140" s="20">
        <v>85.909090909</v>
      </c>
      <c r="G140" s="20">
        <v>1.4503706E-2</v>
      </c>
      <c r="H140" s="21">
        <v>2.1048260999999999E-2</v>
      </c>
      <c r="I140" s="12">
        <f t="shared" si="6"/>
        <v>24.949090908999999</v>
      </c>
      <c r="J140" s="11">
        <f t="shared" si="8"/>
        <v>24.949090908999999</v>
      </c>
      <c r="K140" s="12">
        <f t="shared" si="7"/>
        <v>24.949090908999999</v>
      </c>
    </row>
    <row r="141" spans="1:13" s="15" customFormat="1" x14ac:dyDescent="0.3">
      <c r="F141" s="23">
        <v>90</v>
      </c>
      <c r="G141" s="23">
        <v>1.2276624999999999E-2</v>
      </c>
      <c r="H141" s="24">
        <v>1.3842253000000001E-2</v>
      </c>
      <c r="I141" s="19">
        <f t="shared" si="6"/>
        <v>29.04</v>
      </c>
      <c r="J141" s="18">
        <f t="shared" si="8"/>
        <v>29.04</v>
      </c>
      <c r="K141" s="12">
        <f t="shared" si="7"/>
        <v>29.04</v>
      </c>
    </row>
    <row r="142" spans="1:13" x14ac:dyDescent="0.3">
      <c r="A142" s="9">
        <v>20241115</v>
      </c>
      <c r="B142" s="9">
        <v>57.96</v>
      </c>
      <c r="C142" s="9">
        <v>11.33</v>
      </c>
      <c r="D142" s="9">
        <v>0.76</v>
      </c>
      <c r="E142" s="9">
        <v>0.81</v>
      </c>
      <c r="F142" s="20">
        <v>-90</v>
      </c>
      <c r="G142" s="20">
        <v>1.3740356E-2</v>
      </c>
      <c r="H142" s="21">
        <v>6.0411859999999996E-3</v>
      </c>
      <c r="I142" s="12">
        <f t="shared" ref="I142:I186" si="9">F142-$B$142</f>
        <v>-147.96</v>
      </c>
      <c r="J142" s="11">
        <f t="shared" si="8"/>
        <v>32.039999999999992</v>
      </c>
      <c r="K142" s="12">
        <f>MIN(ABS(F142-$B$142), ABS(F142-180-$B$142), ABS(F142+180-$B$142))</f>
        <v>32.04</v>
      </c>
      <c r="L142" s="13" cm="1">
        <f t="array" ref="L142">SQRT(SUMPRODUCT(G142:G186,K142:K186*K142:K186))</f>
        <v>27.156849212005227</v>
      </c>
      <c r="M142" s="14" cm="1">
        <f t="array" ref="M142">SUMPRODUCT(G142:G186,ABS(K142:K186))</f>
        <v>17.968445540157219</v>
      </c>
    </row>
    <row r="143" spans="1:13" x14ac:dyDescent="0.3">
      <c r="F143" s="20">
        <v>-85.909090909</v>
      </c>
      <c r="G143" s="20">
        <v>8.9701859999999998E-3</v>
      </c>
      <c r="H143" s="21">
        <v>6.0411859999999996E-3</v>
      </c>
      <c r="I143" s="12">
        <f t="shared" si="9"/>
        <v>-143.86909090899999</v>
      </c>
      <c r="J143" s="11">
        <f t="shared" si="8"/>
        <v>36.130909091000007</v>
      </c>
      <c r="K143" s="12">
        <f t="shared" ref="K143:K186" si="10">MIN(ABS(F143-$B$142), ABS(F143-180-$B$142), ABS(F143+180-$B$142))</f>
        <v>36.130909090999999</v>
      </c>
    </row>
    <row r="144" spans="1:13" x14ac:dyDescent="0.3">
      <c r="F144" s="20">
        <v>-81.818181817999999</v>
      </c>
      <c r="G144" s="20">
        <v>7.8477870000000002E-3</v>
      </c>
      <c r="H144" s="21">
        <v>6.0411859999999996E-3</v>
      </c>
      <c r="I144" s="12">
        <f t="shared" si="9"/>
        <v>-139.77818181800001</v>
      </c>
      <c r="J144" s="11">
        <f t="shared" si="8"/>
        <v>40.221818181999993</v>
      </c>
      <c r="K144" s="12">
        <f t="shared" si="10"/>
        <v>40.221818182</v>
      </c>
    </row>
    <row r="145" spans="6:12" x14ac:dyDescent="0.3">
      <c r="F145" s="20">
        <v>-77.727272726999999</v>
      </c>
      <c r="G145" s="20">
        <v>6.8642419999999996E-3</v>
      </c>
      <c r="H145" s="21">
        <v>6.0411859999999996E-3</v>
      </c>
      <c r="I145" s="12">
        <f t="shared" si="9"/>
        <v>-135.68727272699999</v>
      </c>
      <c r="J145" s="11">
        <f t="shared" si="8"/>
        <v>44.312727273000007</v>
      </c>
      <c r="K145" s="12">
        <f t="shared" si="10"/>
        <v>44.312727273</v>
      </c>
    </row>
    <row r="146" spans="6:12" x14ac:dyDescent="0.3">
      <c r="F146" s="20">
        <v>-73.636363635999999</v>
      </c>
      <c r="G146" s="20">
        <v>5.9440109999999999E-3</v>
      </c>
      <c r="H146" s="21">
        <v>6.0411859999999996E-3</v>
      </c>
      <c r="I146" s="12">
        <f t="shared" si="9"/>
        <v>-131.59636363600001</v>
      </c>
      <c r="J146" s="11">
        <f t="shared" si="8"/>
        <v>48.403636363999993</v>
      </c>
      <c r="K146" s="12">
        <f t="shared" si="10"/>
        <v>48.403636364</v>
      </c>
      <c r="L146">
        <f>C142/L142</f>
        <v>0.41720598407974913</v>
      </c>
    </row>
    <row r="147" spans="6:12" x14ac:dyDescent="0.3">
      <c r="F147" s="20">
        <v>-69.545454544999998</v>
      </c>
      <c r="G147" s="20">
        <v>5.960333E-3</v>
      </c>
      <c r="H147" s="21">
        <v>6.0411859999999996E-3</v>
      </c>
      <c r="I147" s="12">
        <f t="shared" si="9"/>
        <v>-127.50545454499999</v>
      </c>
      <c r="J147" s="11">
        <f t="shared" si="8"/>
        <v>52.494545455000008</v>
      </c>
      <c r="K147" s="12">
        <f t="shared" si="10"/>
        <v>52.494545455000001</v>
      </c>
    </row>
    <row r="148" spans="6:12" x14ac:dyDescent="0.3">
      <c r="F148" s="20">
        <v>-65.454545455000002</v>
      </c>
      <c r="G148" s="20">
        <v>5.6498920000000001E-3</v>
      </c>
      <c r="H148" s="21">
        <v>6.0411859999999996E-3</v>
      </c>
      <c r="I148" s="12">
        <f t="shared" si="9"/>
        <v>-123.414545455</v>
      </c>
      <c r="J148" s="11">
        <f t="shared" si="8"/>
        <v>56.585454545000005</v>
      </c>
      <c r="K148" s="12">
        <f t="shared" si="10"/>
        <v>56.585454544999997</v>
      </c>
    </row>
    <row r="149" spans="6:12" x14ac:dyDescent="0.3">
      <c r="F149" s="20">
        <v>-61.363636364000001</v>
      </c>
      <c r="G149" s="20">
        <v>5.1845720000000001E-3</v>
      </c>
      <c r="H149" s="21">
        <v>6.0411859999999996E-3</v>
      </c>
      <c r="I149" s="12">
        <f t="shared" si="9"/>
        <v>-119.32363636400001</v>
      </c>
      <c r="J149" s="11">
        <f t="shared" si="8"/>
        <v>60.676363635999991</v>
      </c>
      <c r="K149" s="12">
        <f t="shared" si="10"/>
        <v>60.676363635999998</v>
      </c>
    </row>
    <row r="150" spans="6:12" x14ac:dyDescent="0.3">
      <c r="F150" s="20">
        <v>-57.272727273000001</v>
      </c>
      <c r="G150" s="20">
        <v>5.234753E-3</v>
      </c>
      <c r="H150" s="21">
        <v>6.0411859999999996E-3</v>
      </c>
      <c r="I150" s="12">
        <f t="shared" si="9"/>
        <v>-115.23272727299999</v>
      </c>
      <c r="J150" s="11">
        <f t="shared" si="8"/>
        <v>64.767272727000005</v>
      </c>
      <c r="K150" s="12">
        <f t="shared" si="10"/>
        <v>64.767272727000005</v>
      </c>
    </row>
    <row r="151" spans="6:12" x14ac:dyDescent="0.3">
      <c r="F151" s="20">
        <v>-53.181818182000001</v>
      </c>
      <c r="G151" s="20">
        <v>5.0918229999999997E-3</v>
      </c>
      <c r="H151" s="21">
        <v>6.0411859999999996E-3</v>
      </c>
      <c r="I151" s="12">
        <f t="shared" si="9"/>
        <v>-111.14181818200001</v>
      </c>
      <c r="J151" s="11">
        <f t="shared" si="8"/>
        <v>68.858181817999991</v>
      </c>
      <c r="K151" s="12">
        <f t="shared" si="10"/>
        <v>68.858181817999991</v>
      </c>
    </row>
    <row r="152" spans="6:12" x14ac:dyDescent="0.3">
      <c r="F152" s="20">
        <v>-49.090909091</v>
      </c>
      <c r="G152" s="20">
        <v>4.879736E-3</v>
      </c>
      <c r="H152" s="21">
        <v>6.0411859999999996E-3</v>
      </c>
      <c r="I152" s="12">
        <f t="shared" si="9"/>
        <v>-107.05090909099999</v>
      </c>
      <c r="J152" s="11">
        <f t="shared" si="8"/>
        <v>72.949090909000006</v>
      </c>
      <c r="K152" s="12">
        <f t="shared" si="10"/>
        <v>72.949090908999978</v>
      </c>
    </row>
    <row r="153" spans="6:12" x14ac:dyDescent="0.3">
      <c r="F153" s="20">
        <v>-45</v>
      </c>
      <c r="G153" s="20">
        <v>5.5087010000000004E-3</v>
      </c>
      <c r="H153" s="21">
        <v>6.0411859999999996E-3</v>
      </c>
      <c r="I153" s="12">
        <f t="shared" si="9"/>
        <v>-102.96000000000001</v>
      </c>
      <c r="J153" s="11">
        <f t="shared" si="8"/>
        <v>77.039999999999992</v>
      </c>
      <c r="K153" s="12">
        <f t="shared" si="10"/>
        <v>77.039999999999992</v>
      </c>
    </row>
    <row r="154" spans="6:12" x14ac:dyDescent="0.3">
      <c r="F154" s="20">
        <v>-40.909090909</v>
      </c>
      <c r="G154" s="20">
        <v>4.7944789999999999E-3</v>
      </c>
      <c r="H154" s="21">
        <v>6.0411859999999996E-3</v>
      </c>
      <c r="I154" s="12">
        <f t="shared" si="9"/>
        <v>-98.869090908999993</v>
      </c>
      <c r="J154" s="11">
        <f t="shared" si="8"/>
        <v>81.130909091000007</v>
      </c>
      <c r="K154" s="12">
        <f t="shared" si="10"/>
        <v>81.130909091000007</v>
      </c>
    </row>
    <row r="155" spans="6:12" x14ac:dyDescent="0.3">
      <c r="F155" s="20">
        <v>-36.818181817999999</v>
      </c>
      <c r="G155" s="20">
        <v>5.0261220000000001E-3</v>
      </c>
      <c r="H155" s="21">
        <v>6.0411859999999996E-3</v>
      </c>
      <c r="I155" s="12">
        <f t="shared" si="9"/>
        <v>-94.778181818000007</v>
      </c>
      <c r="J155" s="11">
        <f t="shared" si="8"/>
        <v>85.221818181999993</v>
      </c>
      <c r="K155" s="12">
        <f t="shared" si="10"/>
        <v>85.221818181999993</v>
      </c>
    </row>
    <row r="156" spans="6:12" x14ac:dyDescent="0.3">
      <c r="F156" s="20">
        <v>-32.727272726999999</v>
      </c>
      <c r="G156" s="20">
        <v>4.5936670000000001E-3</v>
      </c>
      <c r="H156" s="21">
        <v>6.0411859999999996E-3</v>
      </c>
      <c r="I156" s="12">
        <f t="shared" si="9"/>
        <v>-90.687272726999993</v>
      </c>
      <c r="J156" s="11">
        <f t="shared" si="8"/>
        <v>89.312727273000007</v>
      </c>
      <c r="K156" s="12">
        <f t="shared" si="10"/>
        <v>89.312727272999979</v>
      </c>
    </row>
    <row r="157" spans="6:12" x14ac:dyDescent="0.3">
      <c r="F157" s="20">
        <v>-28.636363635999999</v>
      </c>
      <c r="G157" s="20">
        <v>4.4990289999999999E-3</v>
      </c>
      <c r="H157" s="21">
        <v>6.0411859999999996E-3</v>
      </c>
      <c r="I157" s="12">
        <f t="shared" si="9"/>
        <v>-86.596363636000007</v>
      </c>
      <c r="J157" s="11">
        <f t="shared" si="8"/>
        <v>-86.596363636000007</v>
      </c>
      <c r="K157" s="12">
        <f t="shared" si="10"/>
        <v>86.596363636000007</v>
      </c>
    </row>
    <row r="158" spans="6:12" x14ac:dyDescent="0.3">
      <c r="F158" s="20">
        <v>-24.545454544999998</v>
      </c>
      <c r="G158" s="20">
        <v>4.5053990000000002E-3</v>
      </c>
      <c r="H158" s="21">
        <v>6.0411859999999996E-3</v>
      </c>
      <c r="I158" s="12">
        <f t="shared" si="9"/>
        <v>-82.505454544999992</v>
      </c>
      <c r="J158" s="11">
        <f t="shared" si="8"/>
        <v>-82.505454544999992</v>
      </c>
      <c r="K158" s="12">
        <f t="shared" si="10"/>
        <v>82.505454544999992</v>
      </c>
    </row>
    <row r="159" spans="6:12" x14ac:dyDescent="0.3">
      <c r="F159" s="20">
        <v>-20.454545455000002</v>
      </c>
      <c r="G159" s="20">
        <v>4.7142190000000004E-3</v>
      </c>
      <c r="H159" s="21">
        <v>6.0411859999999996E-3</v>
      </c>
      <c r="I159" s="12">
        <f t="shared" si="9"/>
        <v>-78.414545454999995</v>
      </c>
      <c r="J159" s="11">
        <f t="shared" si="8"/>
        <v>-78.414545454999995</v>
      </c>
      <c r="K159" s="12">
        <f t="shared" si="10"/>
        <v>78.414545454999995</v>
      </c>
    </row>
    <row r="160" spans="6:12" x14ac:dyDescent="0.3">
      <c r="F160" s="20">
        <v>-16.363636364000001</v>
      </c>
      <c r="G160" s="20">
        <v>4.7151129999999999E-3</v>
      </c>
      <c r="H160" s="21">
        <v>6.0411859999999996E-3</v>
      </c>
      <c r="I160" s="12">
        <f t="shared" si="9"/>
        <v>-74.323636364000009</v>
      </c>
      <c r="J160" s="11">
        <f t="shared" si="8"/>
        <v>-74.323636364000009</v>
      </c>
      <c r="K160" s="12">
        <f t="shared" si="10"/>
        <v>74.323636364000009</v>
      </c>
    </row>
    <row r="161" spans="6:11" x14ac:dyDescent="0.3">
      <c r="F161" s="20">
        <v>-12.272727272999999</v>
      </c>
      <c r="G161" s="20">
        <v>4.9255640000000003E-3</v>
      </c>
      <c r="H161" s="21">
        <v>6.0411859999999996E-3</v>
      </c>
      <c r="I161" s="12">
        <f t="shared" si="9"/>
        <v>-70.232727272999995</v>
      </c>
      <c r="J161" s="11">
        <f t="shared" si="8"/>
        <v>-70.232727272999995</v>
      </c>
      <c r="K161" s="12">
        <f t="shared" si="10"/>
        <v>70.232727272999995</v>
      </c>
    </row>
    <row r="162" spans="6:11" x14ac:dyDescent="0.3">
      <c r="F162" s="20">
        <v>-8.1818181820000007</v>
      </c>
      <c r="G162" s="20">
        <v>5.1376199999999999E-3</v>
      </c>
      <c r="H162" s="21">
        <v>6.0411900000000001E-3</v>
      </c>
      <c r="I162" s="12">
        <f t="shared" si="9"/>
        <v>-66.141818182000009</v>
      </c>
      <c r="J162" s="11">
        <f t="shared" si="8"/>
        <v>-66.141818182000009</v>
      </c>
      <c r="K162" s="12">
        <f t="shared" si="10"/>
        <v>66.141818182000009</v>
      </c>
    </row>
    <row r="163" spans="6:11" x14ac:dyDescent="0.3">
      <c r="F163" s="20">
        <v>-4.0909090910000003</v>
      </c>
      <c r="G163" s="20">
        <v>5.5240139999999998E-3</v>
      </c>
      <c r="H163" s="21">
        <v>6.0412180000000001E-3</v>
      </c>
      <c r="I163" s="12">
        <f t="shared" si="9"/>
        <v>-62.050909091000001</v>
      </c>
      <c r="J163" s="11">
        <f t="shared" si="8"/>
        <v>-62.050909091000001</v>
      </c>
      <c r="K163" s="12">
        <f t="shared" si="10"/>
        <v>62.050909091000001</v>
      </c>
    </row>
    <row r="164" spans="6:11" x14ac:dyDescent="0.3">
      <c r="F164" s="20">
        <v>0</v>
      </c>
      <c r="G164" s="20">
        <v>5.973417E-3</v>
      </c>
      <c r="H164" s="21">
        <v>6.0414040000000002E-3</v>
      </c>
      <c r="I164" s="12">
        <f t="shared" si="9"/>
        <v>-57.96</v>
      </c>
      <c r="J164" s="11">
        <f t="shared" si="8"/>
        <v>-57.96</v>
      </c>
      <c r="K164" s="12">
        <f t="shared" si="10"/>
        <v>57.96</v>
      </c>
    </row>
    <row r="165" spans="6:11" x14ac:dyDescent="0.3">
      <c r="F165" s="20">
        <v>4.0909090910000003</v>
      </c>
      <c r="G165" s="20">
        <v>5.8501270000000001E-3</v>
      </c>
      <c r="H165" s="21">
        <v>6.0424839999999999E-3</v>
      </c>
      <c r="I165" s="12">
        <f t="shared" si="9"/>
        <v>-53.869090909000001</v>
      </c>
      <c r="J165" s="11">
        <f t="shared" si="8"/>
        <v>-53.869090909000001</v>
      </c>
      <c r="K165" s="12">
        <f t="shared" si="10"/>
        <v>53.869090909000001</v>
      </c>
    </row>
    <row r="166" spans="6:11" x14ac:dyDescent="0.3">
      <c r="F166" s="20">
        <v>8.1818181820000007</v>
      </c>
      <c r="G166" s="20">
        <v>5.7506600000000003E-3</v>
      </c>
      <c r="H166" s="21">
        <v>6.0479519999999997E-3</v>
      </c>
      <c r="I166" s="12">
        <f t="shared" si="9"/>
        <v>-49.778181818</v>
      </c>
      <c r="J166" s="11">
        <f t="shared" si="8"/>
        <v>-49.778181818</v>
      </c>
      <c r="K166" s="12">
        <f t="shared" si="10"/>
        <v>49.778181818</v>
      </c>
    </row>
    <row r="167" spans="6:11" x14ac:dyDescent="0.3">
      <c r="F167" s="20">
        <v>12.272727272999999</v>
      </c>
      <c r="G167" s="20">
        <v>5.69054E-3</v>
      </c>
      <c r="H167" s="21">
        <v>6.0721500000000001E-3</v>
      </c>
      <c r="I167" s="12">
        <f t="shared" si="9"/>
        <v>-45.687272727</v>
      </c>
      <c r="J167" s="11">
        <f t="shared" si="8"/>
        <v>-45.687272727</v>
      </c>
      <c r="K167" s="12">
        <f t="shared" si="10"/>
        <v>45.687272727</v>
      </c>
    </row>
    <row r="168" spans="6:11" x14ac:dyDescent="0.3">
      <c r="F168" s="20">
        <v>16.363636364000001</v>
      </c>
      <c r="G168" s="20">
        <v>5.9892160000000003E-3</v>
      </c>
      <c r="H168" s="21">
        <v>6.1655670000000003E-3</v>
      </c>
      <c r="I168" s="12">
        <f t="shared" si="9"/>
        <v>-41.596363636</v>
      </c>
      <c r="J168" s="11">
        <f t="shared" si="8"/>
        <v>-41.596363636</v>
      </c>
      <c r="K168" s="12">
        <f t="shared" si="10"/>
        <v>41.596363636</v>
      </c>
    </row>
    <row r="169" spans="6:11" x14ac:dyDescent="0.3">
      <c r="F169" s="20">
        <v>20.454545455000002</v>
      </c>
      <c r="G169" s="20">
        <v>7.0842040000000002E-3</v>
      </c>
      <c r="H169" s="21">
        <v>6.4797550000000002E-3</v>
      </c>
      <c r="I169" s="12">
        <f t="shared" si="9"/>
        <v>-37.505454544999999</v>
      </c>
      <c r="J169" s="11">
        <f t="shared" si="8"/>
        <v>-37.505454544999999</v>
      </c>
      <c r="K169" s="12">
        <f t="shared" si="10"/>
        <v>37.505454544999999</v>
      </c>
    </row>
    <row r="170" spans="6:11" x14ac:dyDescent="0.3">
      <c r="F170" s="20">
        <v>24.545454544999998</v>
      </c>
      <c r="G170" s="20">
        <v>7.2475719999999999E-3</v>
      </c>
      <c r="H170" s="21">
        <v>7.3986119999999997E-3</v>
      </c>
      <c r="I170" s="12">
        <f t="shared" si="9"/>
        <v>-33.414545455000003</v>
      </c>
      <c r="J170" s="11">
        <f t="shared" si="8"/>
        <v>-33.414545455000003</v>
      </c>
      <c r="K170" s="12">
        <f t="shared" si="10"/>
        <v>33.414545455000003</v>
      </c>
    </row>
    <row r="171" spans="6:11" x14ac:dyDescent="0.3">
      <c r="F171" s="20">
        <v>28.636363635999999</v>
      </c>
      <c r="G171" s="20">
        <v>9.2099940000000009E-3</v>
      </c>
      <c r="H171" s="21">
        <v>9.7291809999999999E-3</v>
      </c>
      <c r="I171" s="12">
        <f t="shared" si="9"/>
        <v>-29.323636364000002</v>
      </c>
      <c r="J171" s="11">
        <f t="shared" si="8"/>
        <v>-29.323636364000002</v>
      </c>
      <c r="K171" s="12">
        <f t="shared" si="10"/>
        <v>29.323636364000002</v>
      </c>
    </row>
    <row r="172" spans="6:11" x14ac:dyDescent="0.3">
      <c r="F172" s="20">
        <v>32.727272726999999</v>
      </c>
      <c r="G172" s="20">
        <v>1.1706225000000001E-2</v>
      </c>
      <c r="H172" s="21">
        <v>1.4836683E-2</v>
      </c>
      <c r="I172" s="12">
        <f t="shared" si="9"/>
        <v>-25.232727273000002</v>
      </c>
      <c r="J172" s="11">
        <f t="shared" si="8"/>
        <v>-25.232727273000002</v>
      </c>
      <c r="K172" s="12">
        <f t="shared" si="10"/>
        <v>25.232727273000002</v>
      </c>
    </row>
    <row r="173" spans="6:11" x14ac:dyDescent="0.3">
      <c r="F173" s="20">
        <v>36.818181817999999</v>
      </c>
      <c r="G173" s="20">
        <v>1.7354748999999999E-2</v>
      </c>
      <c r="H173" s="21">
        <v>2.4454266999999998E-2</v>
      </c>
      <c r="I173" s="12">
        <f t="shared" si="9"/>
        <v>-21.141818182000002</v>
      </c>
      <c r="J173" s="11">
        <f t="shared" si="8"/>
        <v>-21.141818182000002</v>
      </c>
      <c r="K173" s="12">
        <f t="shared" si="10"/>
        <v>21.141818182000002</v>
      </c>
    </row>
    <row r="174" spans="6:11" x14ac:dyDescent="0.3">
      <c r="F174" s="20">
        <v>40.909090909</v>
      </c>
      <c r="G174" s="20">
        <v>2.0845523000000001E-2</v>
      </c>
      <c r="H174" s="21">
        <v>3.9877929999999999E-2</v>
      </c>
      <c r="I174" s="12">
        <f t="shared" si="9"/>
        <v>-17.050909091000001</v>
      </c>
      <c r="J174" s="11">
        <f t="shared" si="8"/>
        <v>-17.050909091000001</v>
      </c>
      <c r="K174" s="12">
        <f t="shared" si="10"/>
        <v>17.050909091000001</v>
      </c>
    </row>
    <row r="175" spans="6:11" x14ac:dyDescent="0.3">
      <c r="F175" s="20">
        <v>45</v>
      </c>
      <c r="G175" s="20">
        <v>4.1771524999999997E-2</v>
      </c>
      <c r="H175" s="21">
        <v>6.0622839999999997E-2</v>
      </c>
      <c r="I175" s="12">
        <f t="shared" si="9"/>
        <v>-12.96</v>
      </c>
      <c r="J175" s="11">
        <f t="shared" si="8"/>
        <v>-12.96</v>
      </c>
      <c r="K175" s="12">
        <f t="shared" si="10"/>
        <v>12.96</v>
      </c>
    </row>
    <row r="176" spans="6:11" x14ac:dyDescent="0.3">
      <c r="F176" s="20">
        <v>49.090909091</v>
      </c>
      <c r="G176" s="20">
        <v>8.3517283999999997E-2</v>
      </c>
      <c r="H176" s="21">
        <v>8.3327191999999994E-2</v>
      </c>
      <c r="I176" s="12">
        <f t="shared" si="9"/>
        <v>-8.8690909090000005</v>
      </c>
      <c r="J176" s="11">
        <f t="shared" si="8"/>
        <v>-8.8690909090000005</v>
      </c>
      <c r="K176" s="12">
        <f t="shared" si="10"/>
        <v>8.8690909090000005</v>
      </c>
    </row>
    <row r="177" spans="1:13" x14ac:dyDescent="0.3">
      <c r="F177" s="20">
        <v>53.181818182000001</v>
      </c>
      <c r="G177" s="20">
        <v>0.15621211199999999</v>
      </c>
      <c r="H177" s="21">
        <v>0.10210306199999999</v>
      </c>
      <c r="I177" s="12">
        <f t="shared" si="9"/>
        <v>-4.7781818180000002</v>
      </c>
      <c r="J177" s="11">
        <f t="shared" si="8"/>
        <v>-4.7781818180000002</v>
      </c>
      <c r="K177" s="12">
        <f t="shared" si="10"/>
        <v>4.7781818180000002</v>
      </c>
    </row>
    <row r="178" spans="1:13" x14ac:dyDescent="0.3">
      <c r="F178" s="20">
        <v>57.272727273000001</v>
      </c>
      <c r="G178" s="20">
        <v>0.12555512699999999</v>
      </c>
      <c r="H178" s="21">
        <v>0.110849877</v>
      </c>
      <c r="I178" s="12">
        <f t="shared" si="9"/>
        <v>-0.68727272699999986</v>
      </c>
      <c r="J178" s="11">
        <f t="shared" si="8"/>
        <v>-0.68727272699999986</v>
      </c>
      <c r="K178" s="12">
        <f t="shared" si="10"/>
        <v>0.68727272699999986</v>
      </c>
    </row>
    <row r="179" spans="1:13" x14ac:dyDescent="0.3">
      <c r="F179" s="20">
        <v>61.363636364000001</v>
      </c>
      <c r="G179" s="20">
        <v>6.3397727000000001E-2</v>
      </c>
      <c r="H179" s="21">
        <v>0.106419423</v>
      </c>
      <c r="I179" s="12">
        <f t="shared" si="9"/>
        <v>3.4036363640000005</v>
      </c>
      <c r="J179" s="11">
        <f t="shared" si="8"/>
        <v>3.4036363640000005</v>
      </c>
      <c r="K179" s="12">
        <f t="shared" si="10"/>
        <v>3.4036363640000005</v>
      </c>
    </row>
    <row r="180" spans="1:13" x14ac:dyDescent="0.3">
      <c r="F180" s="20">
        <v>65.454545455000002</v>
      </c>
      <c r="G180" s="20">
        <v>5.4007714999999998E-2</v>
      </c>
      <c r="H180" s="21">
        <v>9.0428636000000007E-2</v>
      </c>
      <c r="I180" s="12">
        <f t="shared" si="9"/>
        <v>7.4945454550000008</v>
      </c>
      <c r="J180" s="11">
        <f t="shared" si="8"/>
        <v>7.4945454550000008</v>
      </c>
      <c r="K180" s="12">
        <f t="shared" si="10"/>
        <v>7.4945454550000008</v>
      </c>
    </row>
    <row r="181" spans="1:13" x14ac:dyDescent="0.3">
      <c r="F181" s="20">
        <v>69.545454544999998</v>
      </c>
      <c r="G181" s="20">
        <v>8.1699952000000006E-2</v>
      </c>
      <c r="H181" s="21">
        <v>6.8315966000000006E-2</v>
      </c>
      <c r="I181" s="12">
        <f t="shared" si="9"/>
        <v>11.585454544999997</v>
      </c>
      <c r="J181" s="11">
        <f t="shared" si="8"/>
        <v>11.585454544999997</v>
      </c>
      <c r="K181" s="12">
        <f t="shared" si="10"/>
        <v>11.585454544999997</v>
      </c>
    </row>
    <row r="182" spans="1:13" x14ac:dyDescent="0.3">
      <c r="F182" s="20">
        <v>73.636363635999999</v>
      </c>
      <c r="G182" s="20">
        <v>8.5295353000000004E-2</v>
      </c>
      <c r="H182" s="21">
        <v>4.6381805999999998E-2</v>
      </c>
      <c r="I182" s="12">
        <f t="shared" si="9"/>
        <v>15.676363635999998</v>
      </c>
      <c r="J182" s="11">
        <f t="shared" si="8"/>
        <v>15.676363635999998</v>
      </c>
      <c r="K182" s="12">
        <f t="shared" si="10"/>
        <v>15.676363635999998</v>
      </c>
    </row>
    <row r="183" spans="1:13" x14ac:dyDescent="0.3">
      <c r="F183" s="20">
        <v>77.727272726999999</v>
      </c>
      <c r="G183" s="20">
        <v>3.0022159999999999E-2</v>
      </c>
      <c r="H183" s="21">
        <v>2.8979894999999999E-2</v>
      </c>
      <c r="I183" s="12">
        <f t="shared" si="9"/>
        <v>19.767272726999998</v>
      </c>
      <c r="J183" s="11">
        <f t="shared" si="8"/>
        <v>19.767272726999998</v>
      </c>
      <c r="K183" s="12">
        <f t="shared" si="10"/>
        <v>19.767272726999998</v>
      </c>
    </row>
    <row r="184" spans="1:13" x14ac:dyDescent="0.3">
      <c r="F184" s="20">
        <v>81.818181817999999</v>
      </c>
      <c r="G184" s="20">
        <v>1.9318971000000001E-2</v>
      </c>
      <c r="H184" s="21">
        <v>1.7490815E-2</v>
      </c>
      <c r="I184" s="12">
        <f t="shared" si="9"/>
        <v>23.858181817999998</v>
      </c>
      <c r="J184" s="11">
        <f t="shared" si="8"/>
        <v>23.858181817999998</v>
      </c>
      <c r="K184" s="12">
        <f t="shared" si="10"/>
        <v>23.858181817999998</v>
      </c>
    </row>
    <row r="185" spans="1:13" x14ac:dyDescent="0.3">
      <c r="F185" s="20">
        <v>85.909090909</v>
      </c>
      <c r="G185" s="20">
        <v>1.3447877E-2</v>
      </c>
      <c r="H185" s="21">
        <v>1.105779E-2</v>
      </c>
      <c r="I185" s="12">
        <f t="shared" si="9"/>
        <v>27.949090908999999</v>
      </c>
      <c r="J185" s="11">
        <f t="shared" si="8"/>
        <v>27.949090908999999</v>
      </c>
      <c r="K185" s="12">
        <f t="shared" si="10"/>
        <v>27.949090908999999</v>
      </c>
    </row>
    <row r="186" spans="1:13" s="15" customFormat="1" x14ac:dyDescent="0.3">
      <c r="F186" s="23">
        <v>90</v>
      </c>
      <c r="G186" s="23">
        <v>1.3740356E-2</v>
      </c>
      <c r="H186" s="24">
        <v>7.9705950000000005E-3</v>
      </c>
      <c r="I186" s="19">
        <f t="shared" si="9"/>
        <v>32.04</v>
      </c>
      <c r="J186" s="18">
        <f t="shared" si="8"/>
        <v>32.04</v>
      </c>
      <c r="K186" s="12">
        <f t="shared" si="10"/>
        <v>32.04</v>
      </c>
    </row>
    <row r="187" spans="1:13" x14ac:dyDescent="0.3">
      <c r="A187" s="9">
        <v>20241115</v>
      </c>
      <c r="B187" s="9">
        <v>56.11</v>
      </c>
      <c r="C187" s="9">
        <v>10.51</v>
      </c>
      <c r="D187" s="9">
        <v>0.73</v>
      </c>
      <c r="E187" s="9">
        <v>0.95</v>
      </c>
      <c r="F187" s="20">
        <v>-90</v>
      </c>
      <c r="G187" s="20">
        <v>1.1009075E-2</v>
      </c>
      <c r="H187" s="21">
        <v>6.7393720000000004E-3</v>
      </c>
      <c r="I187" s="12">
        <f t="shared" ref="I187:I218" si="11">F187-$B$187</f>
        <v>-146.11000000000001</v>
      </c>
      <c r="J187" s="11">
        <f t="shared" si="8"/>
        <v>33.889999999999986</v>
      </c>
      <c r="K187" s="12">
        <f>MIN(ABS(F187-$B$187), ABS(F187-180-$B$187), ABS(F187+180-$B$187))</f>
        <v>33.89</v>
      </c>
      <c r="L187" s="13" cm="1">
        <f t="array" ref="L187">SQRT(SUMPRODUCT(G187:G231,K187:K231*K187:K231))</f>
        <v>27.194392884393608</v>
      </c>
      <c r="M187" s="14" cm="1">
        <f t="array" ref="M187">SUMPRODUCT(G187:G231,ABS(K187:K231))</f>
        <v>18.010255723970634</v>
      </c>
    </row>
    <row r="188" spans="1:13" x14ac:dyDescent="0.3">
      <c r="F188" s="20">
        <v>-85.909090909</v>
      </c>
      <c r="G188" s="20">
        <v>8.6234620000000001E-3</v>
      </c>
      <c r="H188" s="21">
        <v>6.7393720000000004E-3</v>
      </c>
      <c r="I188" s="12">
        <f t="shared" si="11"/>
        <v>-142.019090909</v>
      </c>
      <c r="J188" s="11">
        <f t="shared" si="8"/>
        <v>37.980909091000001</v>
      </c>
      <c r="K188" s="12">
        <f t="shared" ref="K188:K231" si="12">MIN(ABS(F188-$B$187), ABS(F188-180-$B$187), ABS(F188+180-$B$187))</f>
        <v>37.980909091000001</v>
      </c>
    </row>
    <row r="189" spans="1:13" x14ac:dyDescent="0.3">
      <c r="F189" s="20">
        <v>-81.818181817999999</v>
      </c>
      <c r="G189" s="20">
        <v>7.3105779999999999E-3</v>
      </c>
      <c r="H189" s="21">
        <v>6.7393720000000004E-3</v>
      </c>
      <c r="I189" s="12">
        <f t="shared" si="11"/>
        <v>-137.92818181799998</v>
      </c>
      <c r="J189" s="11">
        <f t="shared" si="8"/>
        <v>42.071818182000015</v>
      </c>
      <c r="K189" s="12">
        <f t="shared" si="12"/>
        <v>42.071818182000001</v>
      </c>
    </row>
    <row r="190" spans="1:13" x14ac:dyDescent="0.3">
      <c r="F190" s="20">
        <v>-77.727272726999999</v>
      </c>
      <c r="G190" s="20">
        <v>6.9103039999999999E-3</v>
      </c>
      <c r="H190" s="21">
        <v>6.7393720000000004E-3</v>
      </c>
      <c r="I190" s="12">
        <f t="shared" si="11"/>
        <v>-133.837272727</v>
      </c>
      <c r="J190" s="11">
        <f t="shared" si="8"/>
        <v>46.162727273000002</v>
      </c>
      <c r="K190" s="12">
        <f t="shared" si="12"/>
        <v>46.162727273000002</v>
      </c>
      <c r="L190">
        <f>C187/L187</f>
        <v>0.38647672866532379</v>
      </c>
    </row>
    <row r="191" spans="1:13" x14ac:dyDescent="0.3">
      <c r="F191" s="20">
        <v>-73.636363635999999</v>
      </c>
      <c r="G191" s="20">
        <v>6.1263480000000002E-3</v>
      </c>
      <c r="H191" s="21">
        <v>6.7393720000000004E-3</v>
      </c>
      <c r="I191" s="12">
        <f t="shared" si="11"/>
        <v>-129.74636363600001</v>
      </c>
      <c r="J191" s="11">
        <f t="shared" si="8"/>
        <v>50.253636363999988</v>
      </c>
      <c r="K191" s="12">
        <f t="shared" si="12"/>
        <v>50.253636364000002</v>
      </c>
    </row>
    <row r="192" spans="1:13" x14ac:dyDescent="0.3">
      <c r="F192" s="20">
        <v>-69.545454544999998</v>
      </c>
      <c r="G192" s="20">
        <v>5.5736919999999999E-3</v>
      </c>
      <c r="H192" s="21">
        <v>6.7393720000000004E-3</v>
      </c>
      <c r="I192" s="12">
        <f t="shared" si="11"/>
        <v>-125.655454545</v>
      </c>
      <c r="J192" s="11">
        <f t="shared" si="8"/>
        <v>54.344545455000002</v>
      </c>
      <c r="K192" s="12">
        <f t="shared" si="12"/>
        <v>54.344545455000002</v>
      </c>
    </row>
    <row r="193" spans="6:11" x14ac:dyDescent="0.3">
      <c r="F193" s="20">
        <v>-65.454545455000002</v>
      </c>
      <c r="G193" s="20">
        <v>5.5071620000000003E-3</v>
      </c>
      <c r="H193" s="21">
        <v>6.7393720000000004E-3</v>
      </c>
      <c r="I193" s="12">
        <f t="shared" si="11"/>
        <v>-121.564545455</v>
      </c>
      <c r="J193" s="11">
        <f t="shared" si="8"/>
        <v>58.435454544999999</v>
      </c>
      <c r="K193" s="12">
        <f t="shared" si="12"/>
        <v>58.435454544999999</v>
      </c>
    </row>
    <row r="194" spans="6:11" x14ac:dyDescent="0.3">
      <c r="F194" s="20">
        <v>-61.363636364000001</v>
      </c>
      <c r="G194" s="20">
        <v>5.224561E-3</v>
      </c>
      <c r="H194" s="21">
        <v>6.7393720000000004E-3</v>
      </c>
      <c r="I194" s="12">
        <f t="shared" si="11"/>
        <v>-117.473636364</v>
      </c>
      <c r="J194" s="11">
        <f t="shared" si="8"/>
        <v>62.526363635999999</v>
      </c>
      <c r="K194" s="12">
        <f t="shared" si="12"/>
        <v>62.526363635999999</v>
      </c>
    </row>
    <row r="195" spans="6:11" x14ac:dyDescent="0.3">
      <c r="F195" s="20">
        <v>-57.272727273000001</v>
      </c>
      <c r="G195" s="20">
        <v>5.1716380000000001E-3</v>
      </c>
      <c r="H195" s="21">
        <v>6.7393720000000004E-3</v>
      </c>
      <c r="I195" s="12">
        <f t="shared" si="11"/>
        <v>-113.382727273</v>
      </c>
      <c r="J195" s="11">
        <f t="shared" si="8"/>
        <v>66.617272727</v>
      </c>
      <c r="K195" s="12">
        <f t="shared" si="12"/>
        <v>66.617272727</v>
      </c>
    </row>
    <row r="196" spans="6:11" x14ac:dyDescent="0.3">
      <c r="F196" s="20">
        <v>-53.181818182000001</v>
      </c>
      <c r="G196" s="20">
        <v>4.9762840000000001E-3</v>
      </c>
      <c r="H196" s="21">
        <v>6.7393720000000004E-3</v>
      </c>
      <c r="I196" s="12">
        <f t="shared" si="11"/>
        <v>-109.291818182</v>
      </c>
      <c r="J196" s="11">
        <f t="shared" si="8"/>
        <v>70.708181818</v>
      </c>
      <c r="K196" s="12">
        <f t="shared" si="12"/>
        <v>70.708181818</v>
      </c>
    </row>
    <row r="197" spans="6:11" x14ac:dyDescent="0.3">
      <c r="F197" s="20">
        <v>-49.090909091</v>
      </c>
      <c r="G197" s="20">
        <v>4.7789080000000001E-3</v>
      </c>
      <c r="H197" s="21">
        <v>6.7393720000000004E-3</v>
      </c>
      <c r="I197" s="12">
        <f t="shared" si="11"/>
        <v>-105.200909091</v>
      </c>
      <c r="J197" s="11">
        <f t="shared" si="8"/>
        <v>74.799090909</v>
      </c>
      <c r="K197" s="12">
        <f t="shared" si="12"/>
        <v>74.799090908999986</v>
      </c>
    </row>
    <row r="198" spans="6:11" x14ac:dyDescent="0.3">
      <c r="F198" s="20">
        <v>-45</v>
      </c>
      <c r="G198" s="20">
        <v>4.7886589999999998E-3</v>
      </c>
      <c r="H198" s="21">
        <v>6.7393720000000004E-3</v>
      </c>
      <c r="I198" s="12">
        <f t="shared" si="11"/>
        <v>-101.11</v>
      </c>
      <c r="J198" s="11">
        <f t="shared" si="8"/>
        <v>78.89</v>
      </c>
      <c r="K198" s="12">
        <f t="shared" si="12"/>
        <v>78.89</v>
      </c>
    </row>
    <row r="199" spans="6:11" x14ac:dyDescent="0.3">
      <c r="F199" s="20">
        <v>-40.909090909</v>
      </c>
      <c r="G199" s="20">
        <v>4.5918799999999996E-3</v>
      </c>
      <c r="H199" s="21">
        <v>6.7393720000000004E-3</v>
      </c>
      <c r="I199" s="12">
        <f t="shared" si="11"/>
        <v>-97.019090908999999</v>
      </c>
      <c r="J199" s="11">
        <f t="shared" ref="J199:J262" si="13">IF(I199&gt;90,-90+(I199-90), IF(-I199&gt;90,90+(I199+90),I199))</f>
        <v>82.980909091000001</v>
      </c>
      <c r="K199" s="12">
        <f t="shared" si="12"/>
        <v>82.980909091000015</v>
      </c>
    </row>
    <row r="200" spans="6:11" x14ac:dyDescent="0.3">
      <c r="F200" s="20">
        <v>-36.818181817999999</v>
      </c>
      <c r="G200" s="20">
        <v>4.5947430000000001E-3</v>
      </c>
      <c r="H200" s="21">
        <v>6.7393720000000004E-3</v>
      </c>
      <c r="I200" s="12">
        <f t="shared" si="11"/>
        <v>-92.928181817999999</v>
      </c>
      <c r="J200" s="11">
        <f t="shared" si="13"/>
        <v>87.071818182000001</v>
      </c>
      <c r="K200" s="12">
        <f t="shared" si="12"/>
        <v>87.071818182000001</v>
      </c>
    </row>
    <row r="201" spans="6:11" x14ac:dyDescent="0.3">
      <c r="F201" s="20">
        <v>-32.727272726999999</v>
      </c>
      <c r="G201" s="20">
        <v>4.4386770000000002E-3</v>
      </c>
      <c r="H201" s="21">
        <v>6.7393720000000004E-3</v>
      </c>
      <c r="I201" s="12">
        <f t="shared" si="11"/>
        <v>-88.837272726999998</v>
      </c>
      <c r="J201" s="11">
        <f t="shared" si="13"/>
        <v>-88.837272726999998</v>
      </c>
      <c r="K201" s="12">
        <f t="shared" si="12"/>
        <v>88.837272726999998</v>
      </c>
    </row>
    <row r="202" spans="6:11" x14ac:dyDescent="0.3">
      <c r="F202" s="20">
        <v>-28.636363635999999</v>
      </c>
      <c r="G202" s="20">
        <v>4.6631470000000003E-3</v>
      </c>
      <c r="H202" s="21">
        <v>6.7393720000000004E-3</v>
      </c>
      <c r="I202" s="12">
        <f t="shared" si="11"/>
        <v>-84.746363635999998</v>
      </c>
      <c r="J202" s="11">
        <f t="shared" si="13"/>
        <v>-84.746363635999998</v>
      </c>
      <c r="K202" s="12">
        <f t="shared" si="12"/>
        <v>84.746363635999998</v>
      </c>
    </row>
    <row r="203" spans="6:11" x14ac:dyDescent="0.3">
      <c r="F203" s="20">
        <v>-24.545454544999998</v>
      </c>
      <c r="G203" s="20">
        <v>4.6935950000000001E-3</v>
      </c>
      <c r="H203" s="21">
        <v>6.7393720000000004E-3</v>
      </c>
      <c r="I203" s="12">
        <f t="shared" si="11"/>
        <v>-80.655454544999998</v>
      </c>
      <c r="J203" s="11">
        <f t="shared" si="13"/>
        <v>-80.655454544999998</v>
      </c>
      <c r="K203" s="12">
        <f t="shared" si="12"/>
        <v>80.655454544999998</v>
      </c>
    </row>
    <row r="204" spans="6:11" x14ac:dyDescent="0.3">
      <c r="F204" s="20">
        <v>-20.454545455000002</v>
      </c>
      <c r="G204" s="20">
        <v>5.075174E-3</v>
      </c>
      <c r="H204" s="21">
        <v>6.7393720000000004E-3</v>
      </c>
      <c r="I204" s="12">
        <f t="shared" si="11"/>
        <v>-76.564545455000001</v>
      </c>
      <c r="J204" s="11">
        <f t="shared" si="13"/>
        <v>-76.564545455000001</v>
      </c>
      <c r="K204" s="12">
        <f t="shared" si="12"/>
        <v>76.564545455000001</v>
      </c>
    </row>
    <row r="205" spans="6:11" x14ac:dyDescent="0.3">
      <c r="F205" s="20">
        <v>-16.363636364000001</v>
      </c>
      <c r="G205" s="20">
        <v>4.9332250000000003E-3</v>
      </c>
      <c r="H205" s="21">
        <v>6.7393720000000004E-3</v>
      </c>
      <c r="I205" s="12">
        <f t="shared" si="11"/>
        <v>-72.473636364000001</v>
      </c>
      <c r="J205" s="11">
        <f t="shared" si="13"/>
        <v>-72.473636364000001</v>
      </c>
      <c r="K205" s="12">
        <f t="shared" si="12"/>
        <v>72.473636364000001</v>
      </c>
    </row>
    <row r="206" spans="6:11" x14ac:dyDescent="0.3">
      <c r="F206" s="20">
        <v>-12.272727272999999</v>
      </c>
      <c r="G206" s="20">
        <v>5.1361449999999999E-3</v>
      </c>
      <c r="H206" s="21">
        <v>6.7393720000000004E-3</v>
      </c>
      <c r="I206" s="12">
        <f t="shared" si="11"/>
        <v>-68.382727273</v>
      </c>
      <c r="J206" s="11">
        <f t="shared" si="13"/>
        <v>-68.382727273</v>
      </c>
      <c r="K206" s="12">
        <f t="shared" si="12"/>
        <v>68.382727273</v>
      </c>
    </row>
    <row r="207" spans="6:11" x14ac:dyDescent="0.3">
      <c r="F207" s="20">
        <v>-8.1818181820000007</v>
      </c>
      <c r="G207" s="20">
        <v>5.0849069999999996E-3</v>
      </c>
      <c r="H207" s="21">
        <v>6.7393720000000004E-3</v>
      </c>
      <c r="I207" s="12">
        <f t="shared" si="11"/>
        <v>-64.291818182</v>
      </c>
      <c r="J207" s="11">
        <f t="shared" si="13"/>
        <v>-64.291818182</v>
      </c>
      <c r="K207" s="12">
        <f t="shared" si="12"/>
        <v>64.291818182</v>
      </c>
    </row>
    <row r="208" spans="6:11" x14ac:dyDescent="0.3">
      <c r="F208" s="20">
        <v>-4.0909090910000003</v>
      </c>
      <c r="G208" s="20">
        <v>5.2266200000000004E-3</v>
      </c>
      <c r="H208" s="21">
        <v>6.7393799999999997E-3</v>
      </c>
      <c r="I208" s="12">
        <f t="shared" si="11"/>
        <v>-60.200909091</v>
      </c>
      <c r="J208" s="11">
        <f t="shared" si="13"/>
        <v>-60.200909091</v>
      </c>
      <c r="K208" s="12">
        <f t="shared" si="12"/>
        <v>60.200909091</v>
      </c>
    </row>
    <row r="209" spans="6:11" x14ac:dyDescent="0.3">
      <c r="F209" s="20">
        <v>0</v>
      </c>
      <c r="G209" s="20">
        <v>5.8896469999999996E-3</v>
      </c>
      <c r="H209" s="21">
        <v>6.739442E-3</v>
      </c>
      <c r="I209" s="12">
        <f t="shared" si="11"/>
        <v>-56.11</v>
      </c>
      <c r="J209" s="11">
        <f t="shared" si="13"/>
        <v>-56.11</v>
      </c>
      <c r="K209" s="12">
        <f t="shared" si="12"/>
        <v>56.11</v>
      </c>
    </row>
    <row r="210" spans="6:11" x14ac:dyDescent="0.3">
      <c r="F210" s="20">
        <v>4.0909090910000003</v>
      </c>
      <c r="G210" s="20">
        <v>5.992537E-3</v>
      </c>
      <c r="H210" s="21">
        <v>6.7398930000000003E-3</v>
      </c>
      <c r="I210" s="12">
        <f t="shared" si="11"/>
        <v>-52.019090908999999</v>
      </c>
      <c r="J210" s="11">
        <f t="shared" si="13"/>
        <v>-52.019090908999999</v>
      </c>
      <c r="K210" s="12">
        <f t="shared" si="12"/>
        <v>52.019090908999999</v>
      </c>
    </row>
    <row r="211" spans="6:11" x14ac:dyDescent="0.3">
      <c r="F211" s="20">
        <v>8.1818181820000007</v>
      </c>
      <c r="G211" s="20">
        <v>6.134703E-3</v>
      </c>
      <c r="H211" s="21">
        <v>6.7426889999999996E-3</v>
      </c>
      <c r="I211" s="12">
        <f t="shared" si="11"/>
        <v>-47.928181817999999</v>
      </c>
      <c r="J211" s="11">
        <f t="shared" si="13"/>
        <v>-47.928181817999999</v>
      </c>
      <c r="K211" s="12">
        <f t="shared" si="12"/>
        <v>47.928181817999999</v>
      </c>
    </row>
    <row r="212" spans="6:11" x14ac:dyDescent="0.3">
      <c r="F212" s="20">
        <v>12.272727272999999</v>
      </c>
      <c r="G212" s="20">
        <v>6.6362790000000001E-3</v>
      </c>
      <c r="H212" s="21">
        <v>6.7575029999999998E-3</v>
      </c>
      <c r="I212" s="12">
        <f t="shared" si="11"/>
        <v>-43.837272726999998</v>
      </c>
      <c r="J212" s="11">
        <f t="shared" si="13"/>
        <v>-43.837272726999998</v>
      </c>
      <c r="K212" s="12">
        <f t="shared" si="12"/>
        <v>43.837272726999998</v>
      </c>
    </row>
    <row r="213" spans="6:11" x14ac:dyDescent="0.3">
      <c r="F213" s="20">
        <v>16.363636364000001</v>
      </c>
      <c r="G213" s="20">
        <v>6.9885069999999997E-3</v>
      </c>
      <c r="H213" s="21">
        <v>6.8245449999999996E-3</v>
      </c>
      <c r="I213" s="12">
        <f t="shared" si="11"/>
        <v>-39.746363635999998</v>
      </c>
      <c r="J213" s="11">
        <f t="shared" si="13"/>
        <v>-39.746363635999998</v>
      </c>
      <c r="K213" s="12">
        <f t="shared" si="12"/>
        <v>39.746363635999998</v>
      </c>
    </row>
    <row r="214" spans="6:11" x14ac:dyDescent="0.3">
      <c r="F214" s="20">
        <v>20.454545455000002</v>
      </c>
      <c r="G214" s="20">
        <v>8.6871580000000004E-3</v>
      </c>
      <c r="H214" s="21">
        <v>7.0832500000000001E-3</v>
      </c>
      <c r="I214" s="12">
        <f t="shared" si="11"/>
        <v>-35.655454544999998</v>
      </c>
      <c r="J214" s="11">
        <f t="shared" si="13"/>
        <v>-35.655454544999998</v>
      </c>
      <c r="K214" s="12">
        <f t="shared" si="12"/>
        <v>35.655454544999998</v>
      </c>
    </row>
    <row r="215" spans="6:11" x14ac:dyDescent="0.3">
      <c r="F215" s="20">
        <v>24.545454544999998</v>
      </c>
      <c r="G215" s="20">
        <v>9.167962E-3</v>
      </c>
      <c r="H215" s="21">
        <v>7.9326250000000004E-3</v>
      </c>
      <c r="I215" s="12">
        <f t="shared" si="11"/>
        <v>-31.564545455000001</v>
      </c>
      <c r="J215" s="11">
        <f t="shared" si="13"/>
        <v>-31.564545455000001</v>
      </c>
      <c r="K215" s="12">
        <f t="shared" si="12"/>
        <v>31.564545455000001</v>
      </c>
    </row>
    <row r="216" spans="6:11" x14ac:dyDescent="0.3">
      <c r="F216" s="20">
        <v>28.636363635999999</v>
      </c>
      <c r="G216" s="20">
        <v>1.0693314000000001E-2</v>
      </c>
      <c r="H216" s="21">
        <v>1.0298043999999999E-2</v>
      </c>
      <c r="I216" s="12">
        <f t="shared" si="11"/>
        <v>-27.473636364000001</v>
      </c>
      <c r="J216" s="11">
        <f t="shared" si="13"/>
        <v>-27.473636364000001</v>
      </c>
      <c r="K216" s="12">
        <f t="shared" si="12"/>
        <v>27.473636364000001</v>
      </c>
    </row>
    <row r="217" spans="6:11" x14ac:dyDescent="0.3">
      <c r="F217" s="20">
        <v>32.727272726999999</v>
      </c>
      <c r="G217" s="20">
        <v>1.4860979E-2</v>
      </c>
      <c r="H217" s="21">
        <v>1.5860981E-2</v>
      </c>
      <c r="I217" s="12">
        <f t="shared" si="11"/>
        <v>-23.382727273</v>
      </c>
      <c r="J217" s="11">
        <f t="shared" si="13"/>
        <v>-23.382727273</v>
      </c>
      <c r="K217" s="12">
        <f t="shared" si="12"/>
        <v>23.382727273</v>
      </c>
    </row>
    <row r="218" spans="6:11" x14ac:dyDescent="0.3">
      <c r="F218" s="20">
        <v>36.818181817999999</v>
      </c>
      <c r="G218" s="20">
        <v>2.4575310999999999E-2</v>
      </c>
      <c r="H218" s="21">
        <v>2.6834133999999999E-2</v>
      </c>
      <c r="I218" s="12">
        <f t="shared" si="11"/>
        <v>-19.291818182</v>
      </c>
      <c r="J218" s="11">
        <f t="shared" si="13"/>
        <v>-19.291818182</v>
      </c>
      <c r="K218" s="12">
        <f t="shared" si="12"/>
        <v>19.291818182</v>
      </c>
    </row>
    <row r="219" spans="6:11" x14ac:dyDescent="0.3">
      <c r="F219" s="20">
        <v>40.909090909</v>
      </c>
      <c r="G219" s="20">
        <v>3.5055773999999998E-2</v>
      </c>
      <c r="H219" s="21">
        <v>4.4786535000000002E-2</v>
      </c>
      <c r="I219" s="12">
        <f t="shared" ref="I219:I250" si="14">F219-$B$187</f>
        <v>-15.200909091</v>
      </c>
      <c r="J219" s="11">
        <f t="shared" si="13"/>
        <v>-15.200909091</v>
      </c>
      <c r="K219" s="12">
        <f t="shared" si="12"/>
        <v>15.200909091</v>
      </c>
    </row>
    <row r="220" spans="6:11" x14ac:dyDescent="0.3">
      <c r="F220" s="20">
        <v>45</v>
      </c>
      <c r="G220" s="20">
        <v>5.9493794000000003E-2</v>
      </c>
      <c r="H220" s="21">
        <v>6.8653488999999998E-2</v>
      </c>
      <c r="I220" s="12">
        <f t="shared" si="14"/>
        <v>-11.11</v>
      </c>
      <c r="J220" s="11">
        <f t="shared" si="13"/>
        <v>-11.11</v>
      </c>
      <c r="K220" s="12">
        <f t="shared" si="12"/>
        <v>11.11</v>
      </c>
    </row>
    <row r="221" spans="6:11" x14ac:dyDescent="0.3">
      <c r="F221" s="20">
        <v>49.090909091</v>
      </c>
      <c r="G221" s="20">
        <v>9.5633953999999993E-2</v>
      </c>
      <c r="H221" s="21">
        <v>9.3332832000000004E-2</v>
      </c>
      <c r="I221" s="12">
        <f t="shared" si="14"/>
        <v>-7.0190909089999991</v>
      </c>
      <c r="J221" s="11">
        <f t="shared" si="13"/>
        <v>-7.0190909089999991</v>
      </c>
      <c r="K221" s="12">
        <f t="shared" si="12"/>
        <v>7.0190909089999991</v>
      </c>
    </row>
    <row r="222" spans="6:11" x14ac:dyDescent="0.3">
      <c r="F222" s="20">
        <v>53.181818182000001</v>
      </c>
      <c r="G222" s="20">
        <v>0.134743378</v>
      </c>
      <c r="H222" s="21">
        <v>0.11082925</v>
      </c>
      <c r="I222" s="12">
        <f t="shared" si="14"/>
        <v>-2.9281818179999988</v>
      </c>
      <c r="J222" s="11">
        <f t="shared" si="13"/>
        <v>-2.9281818179999988</v>
      </c>
      <c r="K222" s="12">
        <f t="shared" si="12"/>
        <v>2.9281818179999988</v>
      </c>
    </row>
    <row r="223" spans="6:11" x14ac:dyDescent="0.3">
      <c r="F223" s="20">
        <v>57.272727273000001</v>
      </c>
      <c r="G223" s="20">
        <v>0.11649393299999999</v>
      </c>
      <c r="H223" s="21">
        <v>0.11427686400000001</v>
      </c>
      <c r="I223" s="12">
        <f t="shared" si="14"/>
        <v>1.1627272730000016</v>
      </c>
      <c r="J223" s="11">
        <f t="shared" si="13"/>
        <v>1.1627272730000016</v>
      </c>
      <c r="K223" s="12">
        <f t="shared" si="12"/>
        <v>1.1627272730000016</v>
      </c>
    </row>
    <row r="224" spans="6:11" x14ac:dyDescent="0.3">
      <c r="F224" s="20">
        <v>61.363636364000001</v>
      </c>
      <c r="G224" s="20">
        <v>8.8079038999999998E-2</v>
      </c>
      <c r="H224" s="21">
        <v>0.102225285</v>
      </c>
      <c r="I224" s="12">
        <f t="shared" si="14"/>
        <v>5.2536363640000019</v>
      </c>
      <c r="J224" s="11">
        <f t="shared" si="13"/>
        <v>5.2536363640000019</v>
      </c>
      <c r="K224" s="12">
        <f t="shared" si="12"/>
        <v>5.2536363640000019</v>
      </c>
    </row>
    <row r="225" spans="1:13" x14ac:dyDescent="0.3">
      <c r="F225" s="20">
        <v>65.454545455000002</v>
      </c>
      <c r="G225" s="20">
        <v>5.8978474000000003E-2</v>
      </c>
      <c r="H225" s="21">
        <v>7.9609025999999999E-2</v>
      </c>
      <c r="I225" s="12">
        <f t="shared" si="14"/>
        <v>9.3445454550000022</v>
      </c>
      <c r="J225" s="11">
        <f t="shared" si="13"/>
        <v>9.3445454550000022</v>
      </c>
      <c r="K225" s="12">
        <f t="shared" si="12"/>
        <v>9.3445454550000022</v>
      </c>
    </row>
    <row r="226" spans="1:13" x14ac:dyDescent="0.3">
      <c r="F226" s="20">
        <v>69.545454544999998</v>
      </c>
      <c r="G226" s="20">
        <v>5.7143590000000001E-2</v>
      </c>
      <c r="H226" s="21">
        <v>5.4534331999999998E-2</v>
      </c>
      <c r="I226" s="12">
        <f t="shared" si="14"/>
        <v>13.435454544999999</v>
      </c>
      <c r="J226" s="11">
        <f t="shared" si="13"/>
        <v>13.435454544999999</v>
      </c>
      <c r="K226" s="12">
        <f t="shared" si="12"/>
        <v>13.435454544999999</v>
      </c>
    </row>
    <row r="227" spans="1:13" x14ac:dyDescent="0.3">
      <c r="F227" s="20">
        <v>73.636363635999999</v>
      </c>
      <c r="G227" s="20">
        <v>5.5313473000000002E-2</v>
      </c>
      <c r="H227" s="21">
        <v>3.3682344000000003E-2</v>
      </c>
      <c r="I227" s="12">
        <f t="shared" si="14"/>
        <v>17.526363635999999</v>
      </c>
      <c r="J227" s="11">
        <f t="shared" si="13"/>
        <v>17.526363635999999</v>
      </c>
      <c r="K227" s="12">
        <f t="shared" si="12"/>
        <v>17.526363635999999</v>
      </c>
    </row>
    <row r="228" spans="1:13" x14ac:dyDescent="0.3">
      <c r="F228" s="20">
        <v>77.727272726999999</v>
      </c>
      <c r="G228" s="20">
        <v>3.1874876000000003E-2</v>
      </c>
      <c r="H228" s="21">
        <v>1.9793169999999999E-2</v>
      </c>
      <c r="I228" s="12">
        <f t="shared" si="14"/>
        <v>21.617272727</v>
      </c>
      <c r="J228" s="11">
        <f t="shared" si="13"/>
        <v>21.617272727</v>
      </c>
      <c r="K228" s="12">
        <f t="shared" si="12"/>
        <v>21.617272727</v>
      </c>
    </row>
    <row r="229" spans="1:13" x14ac:dyDescent="0.3">
      <c r="F229" s="20">
        <v>81.818181817999999</v>
      </c>
      <c r="G229" s="20">
        <v>1.9710333E-2</v>
      </c>
      <c r="H229" s="21">
        <v>1.2175082E-2</v>
      </c>
      <c r="I229" s="12">
        <f t="shared" si="14"/>
        <v>25.708181818</v>
      </c>
      <c r="J229" s="11">
        <f t="shared" si="13"/>
        <v>25.708181818</v>
      </c>
      <c r="K229" s="12">
        <f t="shared" si="12"/>
        <v>25.708181818</v>
      </c>
    </row>
    <row r="230" spans="1:13" x14ac:dyDescent="0.3">
      <c r="F230" s="20">
        <v>85.909090909</v>
      </c>
      <c r="G230" s="20">
        <v>1.2405126000000001E-2</v>
      </c>
      <c r="H230" s="21">
        <v>8.6847480000000008E-3</v>
      </c>
      <c r="I230" s="12">
        <f t="shared" si="14"/>
        <v>29.799090909</v>
      </c>
      <c r="J230" s="11">
        <f t="shared" si="13"/>
        <v>29.799090909</v>
      </c>
      <c r="K230" s="12">
        <f t="shared" si="12"/>
        <v>29.799090909</v>
      </c>
    </row>
    <row r="231" spans="1:13" s="15" customFormat="1" x14ac:dyDescent="0.3">
      <c r="F231" s="23">
        <v>90</v>
      </c>
      <c r="G231" s="23">
        <v>1.1009075E-2</v>
      </c>
      <c r="H231" s="24">
        <v>7.3377540000000002E-3</v>
      </c>
      <c r="I231" s="19">
        <f t="shared" si="14"/>
        <v>33.89</v>
      </c>
      <c r="J231" s="18">
        <f t="shared" si="13"/>
        <v>33.89</v>
      </c>
      <c r="K231" s="12">
        <f t="shared" si="12"/>
        <v>33.89</v>
      </c>
    </row>
    <row r="232" spans="1:13" x14ac:dyDescent="0.3">
      <c r="A232" s="9">
        <v>20241115</v>
      </c>
      <c r="B232" s="9">
        <v>59.1</v>
      </c>
      <c r="C232" s="9">
        <v>14.55</v>
      </c>
      <c r="D232" s="9">
        <v>0.65</v>
      </c>
      <c r="E232" s="9">
        <v>0.91</v>
      </c>
      <c r="F232" s="20">
        <v>-90</v>
      </c>
      <c r="G232" s="20">
        <v>1.5767026999999999E-2</v>
      </c>
      <c r="H232" s="21">
        <v>1.0491751000000001E-2</v>
      </c>
      <c r="I232" s="12">
        <f t="shared" si="14"/>
        <v>-146.11000000000001</v>
      </c>
      <c r="J232" s="11">
        <f t="shared" si="13"/>
        <v>33.889999999999986</v>
      </c>
      <c r="K232" s="12">
        <f>MIN(ABS(F232-$B$232), ABS(F232-180-$B$232), ABS(F232+180-$B$232))</f>
        <v>30.9</v>
      </c>
      <c r="L232" s="13" cm="1">
        <f t="array" ref="L232">SQRT(SUMPRODUCT(G232:G276,K232:K276*K232:K276))</f>
        <v>34.878362109832231</v>
      </c>
      <c r="M232" s="14" cm="1">
        <f t="array" ref="M232">SUMPRODUCT(G232:G276,ABS(K232:K276))</f>
        <v>25.795326075794684</v>
      </c>
    </row>
    <row r="233" spans="1:13" x14ac:dyDescent="0.3">
      <c r="F233" s="20">
        <v>-85.909090909</v>
      </c>
      <c r="G233" s="20">
        <v>1.1967787000000001E-2</v>
      </c>
      <c r="H233" s="21">
        <v>1.0491751000000001E-2</v>
      </c>
      <c r="I233" s="12">
        <f t="shared" si="14"/>
        <v>-142.019090909</v>
      </c>
      <c r="J233" s="11">
        <f t="shared" si="13"/>
        <v>37.980909091000001</v>
      </c>
      <c r="K233" s="12">
        <f t="shared" ref="K233:K276" si="15">MIN(ABS(F233-$B$232), ABS(F233-180-$B$232), ABS(F233+180-$B$232))</f>
        <v>34.990909090999999</v>
      </c>
    </row>
    <row r="234" spans="1:13" x14ac:dyDescent="0.3">
      <c r="F234" s="20">
        <v>-81.818181817999999</v>
      </c>
      <c r="G234" s="20">
        <v>1.2658971999999999E-2</v>
      </c>
      <c r="H234" s="21">
        <v>1.0491751000000001E-2</v>
      </c>
      <c r="I234" s="12">
        <f t="shared" si="14"/>
        <v>-137.92818181799998</v>
      </c>
      <c r="J234" s="11">
        <f t="shared" si="13"/>
        <v>42.071818182000015</v>
      </c>
      <c r="K234" s="12">
        <f t="shared" si="15"/>
        <v>39.081818181999999</v>
      </c>
      <c r="L234">
        <f>C232/L232</f>
        <v>0.41716408454565435</v>
      </c>
    </row>
    <row r="235" spans="1:13" x14ac:dyDescent="0.3">
      <c r="F235" s="20">
        <v>-77.727272726999999</v>
      </c>
      <c r="G235" s="20">
        <v>1.1136495999999999E-2</v>
      </c>
      <c r="H235" s="21">
        <v>1.0491751000000001E-2</v>
      </c>
      <c r="I235" s="12">
        <f t="shared" si="14"/>
        <v>-133.837272727</v>
      </c>
      <c r="J235" s="11">
        <f t="shared" si="13"/>
        <v>46.162727273000002</v>
      </c>
      <c r="K235" s="12">
        <f t="shared" si="15"/>
        <v>43.172727273</v>
      </c>
    </row>
    <row r="236" spans="1:13" x14ac:dyDescent="0.3">
      <c r="F236" s="20">
        <v>-73.636363635999999</v>
      </c>
      <c r="G236" s="20">
        <v>1.0153489E-2</v>
      </c>
      <c r="H236" s="21">
        <v>1.0491751000000001E-2</v>
      </c>
      <c r="I236" s="12">
        <f t="shared" si="14"/>
        <v>-129.74636363600001</v>
      </c>
      <c r="J236" s="11">
        <f t="shared" si="13"/>
        <v>50.253636363999988</v>
      </c>
      <c r="K236" s="12">
        <f t="shared" si="15"/>
        <v>47.263636364</v>
      </c>
    </row>
    <row r="237" spans="1:13" x14ac:dyDescent="0.3">
      <c r="F237" s="20">
        <v>-69.545454544999998</v>
      </c>
      <c r="G237" s="20">
        <v>9.9641959999999998E-3</v>
      </c>
      <c r="H237" s="21">
        <v>1.0491751000000001E-2</v>
      </c>
      <c r="I237" s="12">
        <f t="shared" si="14"/>
        <v>-125.655454545</v>
      </c>
      <c r="J237" s="11">
        <f t="shared" si="13"/>
        <v>54.344545455000002</v>
      </c>
      <c r="K237" s="12">
        <f t="shared" si="15"/>
        <v>51.354545455</v>
      </c>
    </row>
    <row r="238" spans="1:13" x14ac:dyDescent="0.3">
      <c r="F238" s="20">
        <v>-65.454545455000002</v>
      </c>
      <c r="G238" s="20">
        <v>9.6607150000000003E-3</v>
      </c>
      <c r="H238" s="21">
        <v>1.0491751000000001E-2</v>
      </c>
      <c r="I238" s="12">
        <f t="shared" si="14"/>
        <v>-121.564545455</v>
      </c>
      <c r="J238" s="11">
        <f t="shared" si="13"/>
        <v>58.435454544999999</v>
      </c>
      <c r="K238" s="12">
        <f t="shared" si="15"/>
        <v>55.445454544999997</v>
      </c>
    </row>
    <row r="239" spans="1:13" x14ac:dyDescent="0.3">
      <c r="F239" s="20">
        <v>-61.363636364000001</v>
      </c>
      <c r="G239" s="20">
        <v>9.0178919999999996E-3</v>
      </c>
      <c r="H239" s="21">
        <v>1.0491751000000001E-2</v>
      </c>
      <c r="I239" s="12">
        <f t="shared" si="14"/>
        <v>-117.473636364</v>
      </c>
      <c r="J239" s="11">
        <f t="shared" si="13"/>
        <v>62.526363635999999</v>
      </c>
      <c r="K239" s="12">
        <f t="shared" si="15"/>
        <v>59.536363635999997</v>
      </c>
    </row>
    <row r="240" spans="1:13" x14ac:dyDescent="0.3">
      <c r="F240" s="20">
        <v>-57.272727273000001</v>
      </c>
      <c r="G240" s="20">
        <v>8.3940899999999999E-3</v>
      </c>
      <c r="H240" s="21">
        <v>1.0491751000000001E-2</v>
      </c>
      <c r="I240" s="12">
        <f t="shared" si="14"/>
        <v>-113.382727273</v>
      </c>
      <c r="J240" s="11">
        <f t="shared" si="13"/>
        <v>66.617272727</v>
      </c>
      <c r="K240" s="12">
        <f t="shared" si="15"/>
        <v>63.627272726999998</v>
      </c>
      <c r="M240" t="s">
        <v>39</v>
      </c>
    </row>
    <row r="241" spans="6:11" x14ac:dyDescent="0.3">
      <c r="F241" s="20">
        <v>-53.181818182000001</v>
      </c>
      <c r="G241" s="20">
        <v>8.7910000000000002E-3</v>
      </c>
      <c r="H241" s="21">
        <v>1.0491751000000001E-2</v>
      </c>
      <c r="I241" s="12">
        <f t="shared" si="14"/>
        <v>-109.291818182</v>
      </c>
      <c r="J241" s="11">
        <f t="shared" si="13"/>
        <v>70.708181818</v>
      </c>
      <c r="K241" s="12">
        <f t="shared" si="15"/>
        <v>67.718181818000005</v>
      </c>
    </row>
    <row r="242" spans="6:11" x14ac:dyDescent="0.3">
      <c r="F242" s="20">
        <v>-49.090909091</v>
      </c>
      <c r="G242" s="20">
        <v>8.0051180000000003E-3</v>
      </c>
      <c r="H242" s="21">
        <v>1.0491751000000001E-2</v>
      </c>
      <c r="I242" s="12">
        <f t="shared" si="14"/>
        <v>-105.200909091</v>
      </c>
      <c r="J242" s="11">
        <f t="shared" si="13"/>
        <v>74.799090909</v>
      </c>
      <c r="K242" s="12">
        <f t="shared" si="15"/>
        <v>71.809090908999991</v>
      </c>
    </row>
    <row r="243" spans="6:11" x14ac:dyDescent="0.3">
      <c r="F243" s="20">
        <v>-45</v>
      </c>
      <c r="G243" s="20">
        <v>8.0509680000000004E-3</v>
      </c>
      <c r="H243" s="21">
        <v>1.0491751000000001E-2</v>
      </c>
      <c r="I243" s="12">
        <f t="shared" si="14"/>
        <v>-101.11</v>
      </c>
      <c r="J243" s="11">
        <f t="shared" si="13"/>
        <v>78.89</v>
      </c>
      <c r="K243" s="12">
        <f t="shared" si="15"/>
        <v>75.900000000000006</v>
      </c>
    </row>
    <row r="244" spans="6:11" x14ac:dyDescent="0.3">
      <c r="F244" s="20">
        <v>-40.909090909</v>
      </c>
      <c r="G244" s="20">
        <v>7.6829639999999996E-3</v>
      </c>
      <c r="H244" s="21">
        <v>1.0491751000000001E-2</v>
      </c>
      <c r="I244" s="12">
        <f t="shared" si="14"/>
        <v>-97.019090908999999</v>
      </c>
      <c r="J244" s="11">
        <f t="shared" si="13"/>
        <v>82.980909091000001</v>
      </c>
      <c r="K244" s="12">
        <f t="shared" si="15"/>
        <v>79.99090909100002</v>
      </c>
    </row>
    <row r="245" spans="6:11" x14ac:dyDescent="0.3">
      <c r="F245" s="20">
        <v>-36.818181817999999</v>
      </c>
      <c r="G245" s="20">
        <v>8.0746069999999993E-3</v>
      </c>
      <c r="H245" s="21">
        <v>1.0491751000000001E-2</v>
      </c>
      <c r="I245" s="12">
        <f t="shared" si="14"/>
        <v>-92.928181817999999</v>
      </c>
      <c r="J245" s="11">
        <f t="shared" si="13"/>
        <v>87.071818182000001</v>
      </c>
      <c r="K245" s="12">
        <f t="shared" si="15"/>
        <v>84.081818182000006</v>
      </c>
    </row>
    <row r="246" spans="6:11" x14ac:dyDescent="0.3">
      <c r="F246" s="20">
        <v>-32.727272726999999</v>
      </c>
      <c r="G246" s="20">
        <v>7.7627E-3</v>
      </c>
      <c r="H246" s="21">
        <v>1.0491751000000001E-2</v>
      </c>
      <c r="I246" s="12">
        <f t="shared" si="14"/>
        <v>-88.837272726999998</v>
      </c>
      <c r="J246" s="11">
        <f t="shared" si="13"/>
        <v>-88.837272726999998</v>
      </c>
      <c r="K246" s="12">
        <f t="shared" si="15"/>
        <v>88.172727272999992</v>
      </c>
    </row>
    <row r="247" spans="6:11" x14ac:dyDescent="0.3">
      <c r="F247" s="20">
        <v>-28.636363635999999</v>
      </c>
      <c r="G247" s="20">
        <v>7.8782260000000003E-3</v>
      </c>
      <c r="H247" s="21">
        <v>1.0491752E-2</v>
      </c>
      <c r="I247" s="12">
        <f t="shared" si="14"/>
        <v>-84.746363635999998</v>
      </c>
      <c r="J247" s="11">
        <f t="shared" si="13"/>
        <v>-84.746363635999998</v>
      </c>
      <c r="K247" s="12">
        <f t="shared" si="15"/>
        <v>87.736363635999993</v>
      </c>
    </row>
    <row r="248" spans="6:11" x14ac:dyDescent="0.3">
      <c r="F248" s="20">
        <v>-24.545454544999998</v>
      </c>
      <c r="G248" s="20">
        <v>8.1777470000000008E-3</v>
      </c>
      <c r="H248" s="21">
        <v>1.0491755E-2</v>
      </c>
      <c r="I248" s="12">
        <f t="shared" si="14"/>
        <v>-80.655454544999998</v>
      </c>
      <c r="J248" s="11">
        <f t="shared" si="13"/>
        <v>-80.655454544999998</v>
      </c>
      <c r="K248" s="12">
        <f t="shared" si="15"/>
        <v>83.645454545000007</v>
      </c>
    </row>
    <row r="249" spans="6:11" x14ac:dyDescent="0.3">
      <c r="F249" s="20">
        <v>-20.454545455000002</v>
      </c>
      <c r="G249" s="20">
        <v>8.2633570000000007E-3</v>
      </c>
      <c r="H249" s="21">
        <v>1.0491769999999999E-2</v>
      </c>
      <c r="I249" s="12">
        <f t="shared" si="14"/>
        <v>-76.564545455000001</v>
      </c>
      <c r="J249" s="11">
        <f t="shared" si="13"/>
        <v>-76.564545455000001</v>
      </c>
      <c r="K249" s="12">
        <f t="shared" si="15"/>
        <v>79.55454545500001</v>
      </c>
    </row>
    <row r="250" spans="6:11" x14ac:dyDescent="0.3">
      <c r="F250" s="20">
        <v>-16.363636364000001</v>
      </c>
      <c r="G250" s="20">
        <v>8.5658420000000006E-3</v>
      </c>
      <c r="H250" s="21">
        <v>1.0491838E-2</v>
      </c>
      <c r="I250" s="12">
        <f t="shared" si="14"/>
        <v>-72.473636364000001</v>
      </c>
      <c r="J250" s="11">
        <f t="shared" si="13"/>
        <v>-72.473636364000001</v>
      </c>
      <c r="K250" s="12">
        <f t="shared" si="15"/>
        <v>75.463636363999996</v>
      </c>
    </row>
    <row r="251" spans="6:11" x14ac:dyDescent="0.3">
      <c r="F251" s="20">
        <v>-12.272727272999999</v>
      </c>
      <c r="G251" s="20">
        <v>8.6080010000000005E-3</v>
      </c>
      <c r="H251" s="21">
        <v>1.0492108E-2</v>
      </c>
      <c r="I251" s="12">
        <f t="shared" ref="I251:I276" si="16">F251-$B$187</f>
        <v>-68.382727273</v>
      </c>
      <c r="J251" s="11">
        <f t="shared" si="13"/>
        <v>-68.382727273</v>
      </c>
      <c r="K251" s="12">
        <f t="shared" si="15"/>
        <v>71.372727272999995</v>
      </c>
    </row>
    <row r="252" spans="6:11" x14ac:dyDescent="0.3">
      <c r="F252" s="20">
        <v>-8.1818181820000007</v>
      </c>
      <c r="G252" s="20">
        <v>9.2109889999999993E-3</v>
      </c>
      <c r="H252" s="21">
        <v>1.0493115000000001E-2</v>
      </c>
      <c r="I252" s="12">
        <f t="shared" si="16"/>
        <v>-64.291818182</v>
      </c>
      <c r="J252" s="11">
        <f t="shared" si="13"/>
        <v>-64.291818182</v>
      </c>
      <c r="K252" s="12">
        <f t="shared" si="15"/>
        <v>67.281818181999995</v>
      </c>
    </row>
    <row r="253" spans="6:11" x14ac:dyDescent="0.3">
      <c r="F253" s="20">
        <v>-4.0909090910000003</v>
      </c>
      <c r="G253" s="20">
        <v>8.6667180000000003E-3</v>
      </c>
      <c r="H253" s="21">
        <v>1.0496563E-2</v>
      </c>
      <c r="I253" s="12">
        <f t="shared" si="16"/>
        <v>-60.200909091</v>
      </c>
      <c r="J253" s="11">
        <f t="shared" si="13"/>
        <v>-60.200909091</v>
      </c>
      <c r="K253" s="12">
        <f t="shared" si="15"/>
        <v>63.190909091000002</v>
      </c>
    </row>
    <row r="254" spans="6:11" x14ac:dyDescent="0.3">
      <c r="F254" s="20">
        <v>0</v>
      </c>
      <c r="G254" s="20">
        <v>9.6156260000000004E-3</v>
      </c>
      <c r="H254" s="21">
        <v>1.0507434E-2</v>
      </c>
      <c r="I254" s="12">
        <f t="shared" si="16"/>
        <v>-56.11</v>
      </c>
      <c r="J254" s="11">
        <f t="shared" si="13"/>
        <v>-56.11</v>
      </c>
      <c r="K254" s="12">
        <f t="shared" si="15"/>
        <v>59.1</v>
      </c>
    </row>
    <row r="255" spans="6:11" x14ac:dyDescent="0.3">
      <c r="F255" s="20">
        <v>4.0909090910000003</v>
      </c>
      <c r="G255" s="20">
        <v>9.5819500000000005E-3</v>
      </c>
      <c r="H255" s="21">
        <v>1.0538976E-2</v>
      </c>
      <c r="I255" s="12">
        <f t="shared" si="16"/>
        <v>-52.019090908999999</v>
      </c>
      <c r="J255" s="11">
        <f t="shared" si="13"/>
        <v>-52.019090908999999</v>
      </c>
      <c r="K255" s="12">
        <f t="shared" si="15"/>
        <v>55.009090909000001</v>
      </c>
    </row>
    <row r="256" spans="6:11" x14ac:dyDescent="0.3">
      <c r="F256" s="20">
        <v>8.1818181820000007</v>
      </c>
      <c r="G256" s="20">
        <v>1.200129E-2</v>
      </c>
      <c r="H256" s="21">
        <v>1.0623151000000001E-2</v>
      </c>
      <c r="I256" s="12">
        <f t="shared" si="16"/>
        <v>-47.928181817999999</v>
      </c>
      <c r="J256" s="11">
        <f t="shared" si="13"/>
        <v>-47.928181817999999</v>
      </c>
      <c r="K256" s="12">
        <f t="shared" si="15"/>
        <v>50.918181818000001</v>
      </c>
    </row>
    <row r="257" spans="6:11" x14ac:dyDescent="0.3">
      <c r="F257" s="20">
        <v>12.272727272999999</v>
      </c>
      <c r="G257" s="20">
        <v>1.3601237E-2</v>
      </c>
      <c r="H257" s="21">
        <v>1.0829574E-2</v>
      </c>
      <c r="I257" s="12">
        <f t="shared" si="16"/>
        <v>-43.837272726999998</v>
      </c>
      <c r="J257" s="11">
        <f t="shared" si="13"/>
        <v>-43.837272726999998</v>
      </c>
      <c r="K257" s="12">
        <f t="shared" si="15"/>
        <v>46.827272727</v>
      </c>
    </row>
    <row r="258" spans="6:11" x14ac:dyDescent="0.3">
      <c r="F258" s="20">
        <v>16.363636364000001</v>
      </c>
      <c r="G258" s="20">
        <v>1.6762404000000002E-2</v>
      </c>
      <c r="H258" s="21">
        <v>1.1294265E-2</v>
      </c>
      <c r="I258" s="12">
        <f t="shared" si="16"/>
        <v>-39.746363635999998</v>
      </c>
      <c r="J258" s="11">
        <f t="shared" si="13"/>
        <v>-39.746363635999998</v>
      </c>
      <c r="K258" s="12">
        <f t="shared" si="15"/>
        <v>42.736363636</v>
      </c>
    </row>
    <row r="259" spans="6:11" x14ac:dyDescent="0.3">
      <c r="F259" s="20">
        <v>20.454545455000002</v>
      </c>
      <c r="G259" s="20">
        <v>1.9166326000000001E-2</v>
      </c>
      <c r="H259" s="21">
        <v>1.2253274E-2</v>
      </c>
      <c r="I259" s="12">
        <f t="shared" si="16"/>
        <v>-35.655454544999998</v>
      </c>
      <c r="J259" s="11">
        <f t="shared" si="13"/>
        <v>-35.655454544999998</v>
      </c>
      <c r="K259" s="12">
        <f t="shared" si="15"/>
        <v>38.645454545</v>
      </c>
    </row>
    <row r="260" spans="6:11" x14ac:dyDescent="0.3">
      <c r="F260" s="20">
        <v>24.545454544999998</v>
      </c>
      <c r="G260" s="20">
        <v>2.1770607000000001E-2</v>
      </c>
      <c r="H260" s="21">
        <v>1.4064435E-2</v>
      </c>
      <c r="I260" s="12">
        <f t="shared" si="16"/>
        <v>-31.564545455000001</v>
      </c>
      <c r="J260" s="11">
        <f t="shared" si="13"/>
        <v>-31.564545455000001</v>
      </c>
      <c r="K260" s="12">
        <f t="shared" si="15"/>
        <v>34.554545455000003</v>
      </c>
    </row>
    <row r="261" spans="6:11" x14ac:dyDescent="0.3">
      <c r="F261" s="20">
        <v>28.636363635999999</v>
      </c>
      <c r="G261" s="20">
        <v>2.48214E-2</v>
      </c>
      <c r="H261" s="21">
        <v>1.7187083999999998E-2</v>
      </c>
      <c r="I261" s="12">
        <f t="shared" si="16"/>
        <v>-27.473636364000001</v>
      </c>
      <c r="J261" s="11">
        <f t="shared" si="13"/>
        <v>-27.473636364000001</v>
      </c>
      <c r="K261" s="12">
        <f t="shared" si="15"/>
        <v>30.463636364000003</v>
      </c>
    </row>
    <row r="262" spans="6:11" x14ac:dyDescent="0.3">
      <c r="F262" s="20">
        <v>32.727272726999999</v>
      </c>
      <c r="G262" s="20">
        <v>3.1991565E-2</v>
      </c>
      <c r="H262" s="21">
        <v>2.2085418999999998E-2</v>
      </c>
      <c r="I262" s="12">
        <f t="shared" si="16"/>
        <v>-23.382727273</v>
      </c>
      <c r="J262" s="11">
        <f t="shared" si="13"/>
        <v>-23.382727273</v>
      </c>
      <c r="K262" s="12">
        <f t="shared" si="15"/>
        <v>26.372727273000002</v>
      </c>
    </row>
    <row r="263" spans="6:11" x14ac:dyDescent="0.3">
      <c r="F263" s="20">
        <v>36.818181817999999</v>
      </c>
      <c r="G263" s="20">
        <v>3.7092734000000002E-2</v>
      </c>
      <c r="H263" s="21">
        <v>2.9041608E-2</v>
      </c>
      <c r="I263" s="12">
        <f t="shared" si="16"/>
        <v>-19.291818182</v>
      </c>
      <c r="J263" s="11">
        <f t="shared" ref="J263:J326" si="17">IF(I263&gt;90,-90+(I263-90), IF(-I263&gt;90,90+(I263+90),I263))</f>
        <v>-19.291818182</v>
      </c>
      <c r="K263" s="12">
        <f t="shared" si="15"/>
        <v>22.281818182000002</v>
      </c>
    </row>
    <row r="264" spans="6:11" x14ac:dyDescent="0.3">
      <c r="F264" s="20">
        <v>40.909090909</v>
      </c>
      <c r="G264" s="20">
        <v>2.8252757999999999E-2</v>
      </c>
      <c r="H264" s="21">
        <v>3.7915788999999998E-2</v>
      </c>
      <c r="I264" s="12">
        <f t="shared" si="16"/>
        <v>-15.200909091</v>
      </c>
      <c r="J264" s="11">
        <f t="shared" si="17"/>
        <v>-15.200909091</v>
      </c>
      <c r="K264" s="12">
        <f t="shared" si="15"/>
        <v>18.190909091000002</v>
      </c>
    </row>
    <row r="265" spans="6:11" x14ac:dyDescent="0.3">
      <c r="F265" s="20">
        <v>45</v>
      </c>
      <c r="G265" s="20">
        <v>3.4505887999999998E-2</v>
      </c>
      <c r="H265" s="21">
        <v>4.7953955999999999E-2</v>
      </c>
      <c r="I265" s="12">
        <f t="shared" si="16"/>
        <v>-11.11</v>
      </c>
      <c r="J265" s="11">
        <f t="shared" si="17"/>
        <v>-11.11</v>
      </c>
      <c r="K265" s="12">
        <f t="shared" si="15"/>
        <v>14.100000000000001</v>
      </c>
    </row>
    <row r="266" spans="6:11" x14ac:dyDescent="0.3">
      <c r="F266" s="20">
        <v>49.090909091</v>
      </c>
      <c r="G266" s="20">
        <v>4.4523545999999997E-2</v>
      </c>
      <c r="H266" s="21">
        <v>5.7777072999999998E-2</v>
      </c>
      <c r="I266" s="12">
        <f t="shared" si="16"/>
        <v>-7.0190909089999991</v>
      </c>
      <c r="J266" s="11">
        <f t="shared" si="17"/>
        <v>-7.0190909089999991</v>
      </c>
      <c r="K266" s="12">
        <f t="shared" si="15"/>
        <v>10.009090909000001</v>
      </c>
    </row>
    <row r="267" spans="6:11" x14ac:dyDescent="0.3">
      <c r="F267" s="20">
        <v>53.181818182000001</v>
      </c>
      <c r="G267" s="20">
        <v>7.9959010999999997E-2</v>
      </c>
      <c r="H267" s="21">
        <v>6.5639840000000005E-2</v>
      </c>
      <c r="I267" s="12">
        <f t="shared" si="16"/>
        <v>-2.9281818179999988</v>
      </c>
      <c r="J267" s="11">
        <f t="shared" si="17"/>
        <v>-2.9281818179999988</v>
      </c>
      <c r="K267" s="12">
        <f t="shared" si="15"/>
        <v>5.9181818180000008</v>
      </c>
    </row>
    <row r="268" spans="6:11" x14ac:dyDescent="0.3">
      <c r="F268" s="20">
        <v>57.272727273000001</v>
      </c>
      <c r="G268" s="20">
        <v>8.0382199000000001E-2</v>
      </c>
      <c r="H268" s="21">
        <v>6.9921743999999994E-2</v>
      </c>
      <c r="I268" s="12">
        <f t="shared" si="16"/>
        <v>1.1627272730000016</v>
      </c>
      <c r="J268" s="11">
        <f t="shared" si="17"/>
        <v>1.1627272730000016</v>
      </c>
      <c r="K268" s="12">
        <f t="shared" si="15"/>
        <v>1.8272727270000004</v>
      </c>
    </row>
    <row r="269" spans="6:11" x14ac:dyDescent="0.3">
      <c r="F269" s="20">
        <v>61.363636364000001</v>
      </c>
      <c r="G269" s="20">
        <v>7.1628504999999995E-2</v>
      </c>
      <c r="H269" s="21">
        <v>6.9668620000000001E-2</v>
      </c>
      <c r="I269" s="12">
        <f t="shared" si="16"/>
        <v>5.2536363640000019</v>
      </c>
      <c r="J269" s="11">
        <f t="shared" si="17"/>
        <v>5.2536363640000019</v>
      </c>
      <c r="K269" s="12">
        <f t="shared" si="15"/>
        <v>2.2636363639999999</v>
      </c>
    </row>
    <row r="270" spans="6:11" x14ac:dyDescent="0.3">
      <c r="F270" s="20">
        <v>65.454545455000002</v>
      </c>
      <c r="G270" s="20">
        <v>5.4505443000000001E-2</v>
      </c>
      <c r="H270" s="21">
        <v>6.4938177999999999E-2</v>
      </c>
      <c r="I270" s="12">
        <f t="shared" si="16"/>
        <v>9.3445454550000022</v>
      </c>
      <c r="J270" s="11">
        <f t="shared" si="17"/>
        <v>9.3445454550000022</v>
      </c>
      <c r="K270" s="12">
        <f t="shared" si="15"/>
        <v>6.3545454550000002</v>
      </c>
    </row>
    <row r="271" spans="6:11" x14ac:dyDescent="0.3">
      <c r="F271" s="20">
        <v>69.545454544999998</v>
      </c>
      <c r="G271" s="20">
        <v>5.2883347999999997E-2</v>
      </c>
      <c r="H271" s="21">
        <v>5.6778627999999998E-2</v>
      </c>
      <c r="I271" s="12">
        <f t="shared" si="16"/>
        <v>13.435454544999999</v>
      </c>
      <c r="J271" s="11">
        <f t="shared" si="17"/>
        <v>13.435454544999999</v>
      </c>
      <c r="K271" s="12">
        <f t="shared" si="15"/>
        <v>10.445454544999997</v>
      </c>
    </row>
    <row r="272" spans="6:11" x14ac:dyDescent="0.3">
      <c r="F272" s="20">
        <v>73.636363635999999</v>
      </c>
      <c r="G272" s="20">
        <v>5.6185143999999999E-2</v>
      </c>
      <c r="H272" s="21">
        <v>4.6851215000000002E-2</v>
      </c>
      <c r="I272" s="12">
        <f t="shared" si="16"/>
        <v>17.526363635999999</v>
      </c>
      <c r="J272" s="11">
        <f t="shared" si="17"/>
        <v>17.526363635999999</v>
      </c>
      <c r="K272" s="12">
        <f t="shared" si="15"/>
        <v>14.536363635999997</v>
      </c>
    </row>
    <row r="273" spans="1:13" x14ac:dyDescent="0.3">
      <c r="F273" s="20">
        <v>77.727272726999999</v>
      </c>
      <c r="G273" s="20">
        <v>3.9756775000000001E-2</v>
      </c>
      <c r="H273" s="21">
        <v>3.6882284000000001E-2</v>
      </c>
      <c r="I273" s="12">
        <f t="shared" si="16"/>
        <v>21.617272727</v>
      </c>
      <c r="J273" s="11">
        <f t="shared" si="17"/>
        <v>21.617272727</v>
      </c>
      <c r="K273" s="12">
        <f t="shared" si="15"/>
        <v>18.627272726999998</v>
      </c>
    </row>
    <row r="274" spans="1:13" x14ac:dyDescent="0.3">
      <c r="F274" s="20">
        <v>81.818181817999999</v>
      </c>
      <c r="G274" s="20">
        <v>2.3180248000000001E-2</v>
      </c>
      <c r="H274" s="21">
        <v>2.8190799999999998E-2</v>
      </c>
      <c r="I274" s="12">
        <f t="shared" si="16"/>
        <v>25.708181818</v>
      </c>
      <c r="J274" s="11">
        <f t="shared" si="17"/>
        <v>25.708181818</v>
      </c>
      <c r="K274" s="12">
        <f t="shared" si="15"/>
        <v>22.718181817999998</v>
      </c>
    </row>
    <row r="275" spans="1:13" x14ac:dyDescent="0.3">
      <c r="F275" s="20">
        <v>85.909090909</v>
      </c>
      <c r="G275" s="20">
        <v>1.560607E-2</v>
      </c>
      <c r="H275" s="21">
        <v>2.1459633999999998E-2</v>
      </c>
      <c r="I275" s="12">
        <f t="shared" si="16"/>
        <v>29.799090909</v>
      </c>
      <c r="J275" s="11">
        <f t="shared" si="17"/>
        <v>29.799090909</v>
      </c>
      <c r="K275" s="12">
        <f t="shared" si="15"/>
        <v>26.809090908999998</v>
      </c>
    </row>
    <row r="276" spans="1:13" s="15" customFormat="1" x14ac:dyDescent="0.3">
      <c r="F276" s="23">
        <v>90</v>
      </c>
      <c r="G276" s="23">
        <v>1.5767026999999999E-2</v>
      </c>
      <c r="H276" s="24">
        <v>1.6771853999999999E-2</v>
      </c>
      <c r="I276" s="19">
        <f t="shared" si="16"/>
        <v>33.89</v>
      </c>
      <c r="J276" s="18">
        <f t="shared" si="17"/>
        <v>33.89</v>
      </c>
      <c r="K276" s="12">
        <f t="shared" si="15"/>
        <v>30.9</v>
      </c>
    </row>
    <row r="277" spans="1:13" x14ac:dyDescent="0.3">
      <c r="A277" s="9">
        <v>20241115</v>
      </c>
      <c r="B277" s="9">
        <v>63.95</v>
      </c>
      <c r="C277" s="9">
        <v>16.43</v>
      </c>
      <c r="D277" s="9">
        <v>0.69</v>
      </c>
      <c r="E277" s="9">
        <v>0.92</v>
      </c>
      <c r="F277" s="20">
        <v>-90</v>
      </c>
      <c r="G277" s="20">
        <v>1.9638862999999999E-2</v>
      </c>
      <c r="H277" s="21">
        <v>9.8616950000000002E-3</v>
      </c>
      <c r="I277" s="12">
        <f t="shared" ref="I277:I308" si="18">F277-$B$277</f>
        <v>-153.94999999999999</v>
      </c>
      <c r="J277" s="11">
        <f t="shared" si="17"/>
        <v>26.050000000000011</v>
      </c>
      <c r="K277" s="12">
        <f>MIN(ABS(F277-$B$277), ABS(F277-180-$B$277), ABS(F277+180-$B$277))</f>
        <v>26.049999999999997</v>
      </c>
      <c r="L277" s="13" cm="1">
        <f t="array" ref="L277">SQRT(SUMPRODUCT(G277:G321,K277:K321*K277:K321))</f>
        <v>34.350449672239954</v>
      </c>
      <c r="M277" s="14" cm="1">
        <f t="array" ref="M277">SUMPRODUCT(G277:G321,ABS(K277:K321))</f>
        <v>25.471660144566062</v>
      </c>
    </row>
    <row r="278" spans="1:13" x14ac:dyDescent="0.3">
      <c r="F278" s="20">
        <v>-85.909090909</v>
      </c>
      <c r="G278" s="20">
        <v>1.3641812E-2</v>
      </c>
      <c r="H278" s="21">
        <v>9.8616950000000002E-3</v>
      </c>
      <c r="I278" s="12">
        <f t="shared" si="18"/>
        <v>-149.859090909</v>
      </c>
      <c r="J278" s="11">
        <f t="shared" si="17"/>
        <v>30.140909090999997</v>
      </c>
      <c r="K278" s="12">
        <f t="shared" ref="K278:K321" si="19">MIN(ABS(F278-$B$277), ABS(F278-180-$B$277), ABS(F278+180-$B$277))</f>
        <v>30.140909090999997</v>
      </c>
    </row>
    <row r="279" spans="1:13" x14ac:dyDescent="0.3">
      <c r="F279" s="20">
        <v>-81.818181817999999</v>
      </c>
      <c r="G279" s="20">
        <v>1.3885534999999999E-2</v>
      </c>
      <c r="H279" s="21">
        <v>9.8616950000000002E-3</v>
      </c>
      <c r="I279" s="12">
        <f t="shared" si="18"/>
        <v>-145.76818181800002</v>
      </c>
      <c r="J279" s="11">
        <f t="shared" si="17"/>
        <v>34.231818181999984</v>
      </c>
      <c r="K279" s="12">
        <f t="shared" si="19"/>
        <v>34.231818181999998</v>
      </c>
    </row>
    <row r="280" spans="1:13" x14ac:dyDescent="0.3">
      <c r="F280" s="20">
        <v>-77.727272726999999</v>
      </c>
      <c r="G280" s="20">
        <v>1.4076915000000001E-2</v>
      </c>
      <c r="H280" s="21">
        <v>9.8616950000000002E-3</v>
      </c>
      <c r="I280" s="12">
        <f t="shared" si="18"/>
        <v>-141.677272727</v>
      </c>
      <c r="J280" s="11">
        <f t="shared" si="17"/>
        <v>38.322727272999998</v>
      </c>
      <c r="K280" s="12">
        <f t="shared" si="19"/>
        <v>38.322727272999998</v>
      </c>
      <c r="L280">
        <f>C277/L277</f>
        <v>0.47830523782859746</v>
      </c>
    </row>
    <row r="281" spans="1:13" x14ac:dyDescent="0.3">
      <c r="F281" s="20">
        <v>-73.636363635999999</v>
      </c>
      <c r="G281" s="20">
        <v>1.2575486E-2</v>
      </c>
      <c r="H281" s="21">
        <v>9.8616950000000002E-3</v>
      </c>
      <c r="I281" s="12">
        <f t="shared" si="18"/>
        <v>-137.58636363599999</v>
      </c>
      <c r="J281" s="11">
        <f t="shared" si="17"/>
        <v>42.413636364000013</v>
      </c>
      <c r="K281" s="12">
        <f t="shared" si="19"/>
        <v>42.413636363999998</v>
      </c>
    </row>
    <row r="282" spans="1:13" x14ac:dyDescent="0.3">
      <c r="F282" s="20">
        <v>-69.545454544999998</v>
      </c>
      <c r="G282" s="20">
        <v>1.0867501999999999E-2</v>
      </c>
      <c r="H282" s="21">
        <v>9.8616950000000002E-3</v>
      </c>
      <c r="I282" s="12">
        <f t="shared" si="18"/>
        <v>-133.495454545</v>
      </c>
      <c r="J282" s="11">
        <f t="shared" si="17"/>
        <v>46.504545454999999</v>
      </c>
      <c r="K282" s="12">
        <f t="shared" si="19"/>
        <v>46.504545454999999</v>
      </c>
    </row>
    <row r="283" spans="1:13" x14ac:dyDescent="0.3">
      <c r="F283" s="20">
        <v>-65.454545455000002</v>
      </c>
      <c r="G283" s="20">
        <v>9.8095019999999995E-3</v>
      </c>
      <c r="H283" s="21">
        <v>9.8616950000000002E-3</v>
      </c>
      <c r="I283" s="12">
        <f t="shared" si="18"/>
        <v>-129.404545455</v>
      </c>
      <c r="J283" s="11">
        <f t="shared" si="17"/>
        <v>50.595454544999996</v>
      </c>
      <c r="K283" s="12">
        <f t="shared" si="19"/>
        <v>50.595454544999996</v>
      </c>
    </row>
    <row r="284" spans="1:13" x14ac:dyDescent="0.3">
      <c r="F284" s="20">
        <v>-61.363636364000001</v>
      </c>
      <c r="G284" s="20">
        <v>9.3757010000000002E-3</v>
      </c>
      <c r="H284" s="21">
        <v>9.8616950000000002E-3</v>
      </c>
      <c r="I284" s="12">
        <f t="shared" si="18"/>
        <v>-125.313636364</v>
      </c>
      <c r="J284" s="11">
        <f t="shared" si="17"/>
        <v>54.686363635999996</v>
      </c>
      <c r="K284" s="12">
        <f t="shared" si="19"/>
        <v>54.686363635999996</v>
      </c>
    </row>
    <row r="285" spans="1:13" x14ac:dyDescent="0.3">
      <c r="F285" s="20">
        <v>-57.272727273000001</v>
      </c>
      <c r="G285" s="20">
        <v>8.6352860000000007E-3</v>
      </c>
      <c r="H285" s="21">
        <v>9.8616950000000002E-3</v>
      </c>
      <c r="I285" s="12">
        <f t="shared" si="18"/>
        <v>-121.222727273</v>
      </c>
      <c r="J285" s="11">
        <f t="shared" si="17"/>
        <v>58.777272726999996</v>
      </c>
      <c r="K285" s="12">
        <f t="shared" si="19"/>
        <v>58.777272726999996</v>
      </c>
    </row>
    <row r="286" spans="1:13" x14ac:dyDescent="0.3">
      <c r="F286" s="20">
        <v>-53.181818182000001</v>
      </c>
      <c r="G286" s="20">
        <v>8.3729870000000001E-3</v>
      </c>
      <c r="H286" s="21">
        <v>9.8616950000000002E-3</v>
      </c>
      <c r="I286" s="12">
        <f t="shared" si="18"/>
        <v>-117.131818182</v>
      </c>
      <c r="J286" s="11">
        <f t="shared" si="17"/>
        <v>62.868181817999996</v>
      </c>
      <c r="K286" s="12">
        <f t="shared" si="19"/>
        <v>62.868181817999996</v>
      </c>
    </row>
    <row r="287" spans="1:13" x14ac:dyDescent="0.3">
      <c r="F287" s="20">
        <v>-49.090909091</v>
      </c>
      <c r="G287" s="20">
        <v>8.1462989999999992E-3</v>
      </c>
      <c r="H287" s="21">
        <v>9.8616950000000002E-3</v>
      </c>
      <c r="I287" s="12">
        <f t="shared" si="18"/>
        <v>-113.040909091</v>
      </c>
      <c r="J287" s="11">
        <f t="shared" si="17"/>
        <v>66.959090908999997</v>
      </c>
      <c r="K287" s="12">
        <f t="shared" si="19"/>
        <v>66.959090908999983</v>
      </c>
    </row>
    <row r="288" spans="1:13" x14ac:dyDescent="0.3">
      <c r="F288" s="20">
        <v>-45</v>
      </c>
      <c r="G288" s="20">
        <v>9.0379780000000003E-3</v>
      </c>
      <c r="H288" s="21">
        <v>9.8616950000000002E-3</v>
      </c>
      <c r="I288" s="12">
        <f t="shared" si="18"/>
        <v>-108.95</v>
      </c>
      <c r="J288" s="11">
        <f t="shared" si="17"/>
        <v>71.05</v>
      </c>
      <c r="K288" s="12">
        <f t="shared" si="19"/>
        <v>71.05</v>
      </c>
    </row>
    <row r="289" spans="6:11" x14ac:dyDescent="0.3">
      <c r="F289" s="20">
        <v>-40.909090909</v>
      </c>
      <c r="G289" s="20">
        <v>8.9016789999999991E-3</v>
      </c>
      <c r="H289" s="21">
        <v>9.8616950000000002E-3</v>
      </c>
      <c r="I289" s="12">
        <f t="shared" si="18"/>
        <v>-104.859090909</v>
      </c>
      <c r="J289" s="11">
        <f t="shared" si="17"/>
        <v>75.140909090999997</v>
      </c>
      <c r="K289" s="12">
        <f t="shared" si="19"/>
        <v>75.140909091000012</v>
      </c>
    </row>
    <row r="290" spans="6:11" x14ac:dyDescent="0.3">
      <c r="F290" s="20">
        <v>-36.818181817999999</v>
      </c>
      <c r="G290" s="20">
        <v>9.1213809999999996E-3</v>
      </c>
      <c r="H290" s="21">
        <v>9.8616950000000002E-3</v>
      </c>
      <c r="I290" s="12">
        <f t="shared" si="18"/>
        <v>-100.768181818</v>
      </c>
      <c r="J290" s="11">
        <f t="shared" si="17"/>
        <v>79.231818181999998</v>
      </c>
      <c r="K290" s="12">
        <f t="shared" si="19"/>
        <v>79.231818181999998</v>
      </c>
    </row>
    <row r="291" spans="6:11" x14ac:dyDescent="0.3">
      <c r="F291" s="20">
        <v>-32.727272726999999</v>
      </c>
      <c r="G291" s="20">
        <v>8.4832629999999996E-3</v>
      </c>
      <c r="H291" s="21">
        <v>9.8616970000000009E-3</v>
      </c>
      <c r="I291" s="12">
        <f t="shared" si="18"/>
        <v>-96.677272727000002</v>
      </c>
      <c r="J291" s="11">
        <f t="shared" si="17"/>
        <v>83.322727272999998</v>
      </c>
      <c r="K291" s="12">
        <f t="shared" si="19"/>
        <v>83.322727272999984</v>
      </c>
    </row>
    <row r="292" spans="6:11" x14ac:dyDescent="0.3">
      <c r="F292" s="20">
        <v>-28.636363635999999</v>
      </c>
      <c r="G292" s="20">
        <v>7.6152160000000002E-3</v>
      </c>
      <c r="H292" s="21">
        <v>9.861702E-3</v>
      </c>
      <c r="I292" s="12">
        <f t="shared" si="18"/>
        <v>-92.586363636000002</v>
      </c>
      <c r="J292" s="11">
        <f t="shared" si="17"/>
        <v>87.413636363999998</v>
      </c>
      <c r="K292" s="12">
        <f t="shared" si="19"/>
        <v>87.413636363999998</v>
      </c>
    </row>
    <row r="293" spans="6:11" x14ac:dyDescent="0.3">
      <c r="F293" s="20">
        <v>-24.545454544999998</v>
      </c>
      <c r="G293" s="20">
        <v>7.1439720000000002E-3</v>
      </c>
      <c r="H293" s="21">
        <v>9.8617240000000005E-3</v>
      </c>
      <c r="I293" s="12">
        <f t="shared" si="18"/>
        <v>-88.495454545000001</v>
      </c>
      <c r="J293" s="11">
        <f t="shared" si="17"/>
        <v>-88.495454545000001</v>
      </c>
      <c r="K293" s="12">
        <f t="shared" si="19"/>
        <v>88.495454545000001</v>
      </c>
    </row>
    <row r="294" spans="6:11" x14ac:dyDescent="0.3">
      <c r="F294" s="20">
        <v>-20.454545455000002</v>
      </c>
      <c r="G294" s="20">
        <v>7.1256100000000001E-3</v>
      </c>
      <c r="H294" s="21">
        <v>9.8618019999999994E-3</v>
      </c>
      <c r="I294" s="12">
        <f t="shared" si="18"/>
        <v>-84.404545455000004</v>
      </c>
      <c r="J294" s="11">
        <f t="shared" si="17"/>
        <v>-84.404545455000004</v>
      </c>
      <c r="K294" s="12">
        <f t="shared" si="19"/>
        <v>84.404545455000004</v>
      </c>
    </row>
    <row r="295" spans="6:11" x14ac:dyDescent="0.3">
      <c r="F295" s="20">
        <v>-16.363636364000001</v>
      </c>
      <c r="G295" s="20">
        <v>7.919855E-3</v>
      </c>
      <c r="H295" s="21">
        <v>9.8620679999999999E-3</v>
      </c>
      <c r="I295" s="12">
        <f t="shared" si="18"/>
        <v>-80.313636364000004</v>
      </c>
      <c r="J295" s="11">
        <f t="shared" si="17"/>
        <v>-80.313636364000004</v>
      </c>
      <c r="K295" s="12">
        <f t="shared" si="19"/>
        <v>80.313636364000004</v>
      </c>
    </row>
    <row r="296" spans="6:11" x14ac:dyDescent="0.3">
      <c r="F296" s="20">
        <v>-12.272727272999999</v>
      </c>
      <c r="G296" s="20">
        <v>7.088273E-3</v>
      </c>
      <c r="H296" s="21">
        <v>9.862918E-3</v>
      </c>
      <c r="I296" s="12">
        <f t="shared" si="18"/>
        <v>-76.222727273000004</v>
      </c>
      <c r="J296" s="11">
        <f t="shared" si="17"/>
        <v>-76.222727273000004</v>
      </c>
      <c r="K296" s="12">
        <f t="shared" si="19"/>
        <v>76.222727273000004</v>
      </c>
    </row>
    <row r="297" spans="6:11" x14ac:dyDescent="0.3">
      <c r="F297" s="20">
        <v>-8.1818181820000007</v>
      </c>
      <c r="G297" s="20">
        <v>8.136384E-3</v>
      </c>
      <c r="H297" s="21">
        <v>9.8654599999999995E-3</v>
      </c>
      <c r="I297" s="12">
        <f t="shared" si="18"/>
        <v>-72.131818182000004</v>
      </c>
      <c r="J297" s="11">
        <f t="shared" si="17"/>
        <v>-72.131818182000004</v>
      </c>
      <c r="K297" s="12">
        <f t="shared" si="19"/>
        <v>72.131818182000004</v>
      </c>
    </row>
    <row r="298" spans="6:11" x14ac:dyDescent="0.3">
      <c r="F298" s="20">
        <v>-4.0909090910000003</v>
      </c>
      <c r="G298" s="20">
        <v>7.6659789999999998E-3</v>
      </c>
      <c r="H298" s="21">
        <v>9.8725870000000004E-3</v>
      </c>
      <c r="I298" s="12">
        <f t="shared" si="18"/>
        <v>-68.040909091000003</v>
      </c>
      <c r="J298" s="11">
        <f t="shared" si="17"/>
        <v>-68.040909091000003</v>
      </c>
      <c r="K298" s="12">
        <f t="shared" si="19"/>
        <v>68.040909091000003</v>
      </c>
    </row>
    <row r="299" spans="6:11" x14ac:dyDescent="0.3">
      <c r="F299" s="20">
        <v>0</v>
      </c>
      <c r="G299" s="20">
        <v>1.0231539E-2</v>
      </c>
      <c r="H299" s="21">
        <v>9.8913070000000002E-3</v>
      </c>
      <c r="I299" s="12">
        <f t="shared" si="18"/>
        <v>-63.95</v>
      </c>
      <c r="J299" s="11">
        <f t="shared" si="17"/>
        <v>-63.95</v>
      </c>
      <c r="K299" s="12">
        <f t="shared" si="19"/>
        <v>63.95</v>
      </c>
    </row>
    <row r="300" spans="6:11" x14ac:dyDescent="0.3">
      <c r="F300" s="20">
        <v>4.0909090910000003</v>
      </c>
      <c r="G300" s="20">
        <v>8.7080679999999994E-3</v>
      </c>
      <c r="H300" s="21">
        <v>9.9373640000000006E-3</v>
      </c>
      <c r="I300" s="12">
        <f t="shared" si="18"/>
        <v>-59.859090909000003</v>
      </c>
      <c r="J300" s="11">
        <f t="shared" si="17"/>
        <v>-59.859090909000003</v>
      </c>
      <c r="K300" s="12">
        <f t="shared" si="19"/>
        <v>59.859090909000003</v>
      </c>
    </row>
    <row r="301" spans="6:11" x14ac:dyDescent="0.3">
      <c r="F301" s="20">
        <v>8.1818181820000007</v>
      </c>
      <c r="G301" s="20">
        <v>9.2464509999999993E-3</v>
      </c>
      <c r="H301" s="21">
        <v>1.0043431E-2</v>
      </c>
      <c r="I301" s="12">
        <f t="shared" si="18"/>
        <v>-55.768181818000002</v>
      </c>
      <c r="J301" s="11">
        <f t="shared" si="17"/>
        <v>-55.768181818000002</v>
      </c>
      <c r="K301" s="12">
        <f t="shared" si="19"/>
        <v>55.768181818000002</v>
      </c>
    </row>
    <row r="302" spans="6:11" x14ac:dyDescent="0.3">
      <c r="F302" s="20">
        <v>12.272727272999999</v>
      </c>
      <c r="G302" s="20">
        <v>1.0118026E-2</v>
      </c>
      <c r="H302" s="21">
        <v>1.0271934E-2</v>
      </c>
      <c r="I302" s="12">
        <f t="shared" si="18"/>
        <v>-51.677272727000002</v>
      </c>
      <c r="J302" s="11">
        <f t="shared" si="17"/>
        <v>-51.677272727000002</v>
      </c>
      <c r="K302" s="12">
        <f t="shared" si="19"/>
        <v>51.677272727000002</v>
      </c>
    </row>
    <row r="303" spans="6:11" x14ac:dyDescent="0.3">
      <c r="F303" s="20">
        <v>16.363636364000001</v>
      </c>
      <c r="G303" s="20">
        <v>1.0248835E-2</v>
      </c>
      <c r="H303" s="21">
        <v>1.0732077E-2</v>
      </c>
      <c r="I303" s="12">
        <f t="shared" si="18"/>
        <v>-47.586363636000002</v>
      </c>
      <c r="J303" s="11">
        <f t="shared" si="17"/>
        <v>-47.586363636000002</v>
      </c>
      <c r="K303" s="12">
        <f t="shared" si="19"/>
        <v>47.586363636000002</v>
      </c>
    </row>
    <row r="304" spans="6:11" x14ac:dyDescent="0.3">
      <c r="F304" s="20">
        <v>20.454545455000002</v>
      </c>
      <c r="G304" s="20">
        <v>1.2204036E-2</v>
      </c>
      <c r="H304" s="21">
        <v>1.1597333E-2</v>
      </c>
      <c r="I304" s="12">
        <f t="shared" si="18"/>
        <v>-43.495454545000001</v>
      </c>
      <c r="J304" s="11">
        <f t="shared" si="17"/>
        <v>-43.495454545000001</v>
      </c>
      <c r="K304" s="12">
        <f t="shared" si="19"/>
        <v>43.495454545000001</v>
      </c>
    </row>
    <row r="305" spans="6:11" x14ac:dyDescent="0.3">
      <c r="F305" s="20">
        <v>24.545454544999998</v>
      </c>
      <c r="G305" s="20">
        <v>1.4618696E-2</v>
      </c>
      <c r="H305" s="21">
        <v>1.3114696E-2</v>
      </c>
      <c r="I305" s="12">
        <f t="shared" si="18"/>
        <v>-39.404545455000004</v>
      </c>
      <c r="J305" s="11">
        <f t="shared" si="17"/>
        <v>-39.404545455000004</v>
      </c>
      <c r="K305" s="12">
        <f t="shared" si="19"/>
        <v>39.404545455000004</v>
      </c>
    </row>
    <row r="306" spans="6:11" x14ac:dyDescent="0.3">
      <c r="F306" s="20">
        <v>28.636363635999999</v>
      </c>
      <c r="G306" s="20">
        <v>1.7431393E-2</v>
      </c>
      <c r="H306" s="21">
        <v>1.5592104000000001E-2</v>
      </c>
      <c r="I306" s="12">
        <f t="shared" si="18"/>
        <v>-35.313636364000004</v>
      </c>
      <c r="J306" s="11">
        <f t="shared" si="17"/>
        <v>-35.313636364000004</v>
      </c>
      <c r="K306" s="12">
        <f t="shared" si="19"/>
        <v>35.313636364000004</v>
      </c>
    </row>
    <row r="307" spans="6:11" x14ac:dyDescent="0.3">
      <c r="F307" s="20">
        <v>32.727272726999999</v>
      </c>
      <c r="G307" s="20">
        <v>2.4931182999999999E-2</v>
      </c>
      <c r="H307" s="21">
        <v>1.9349443000000001E-2</v>
      </c>
      <c r="I307" s="12">
        <f t="shared" si="18"/>
        <v>-31.222727273000004</v>
      </c>
      <c r="J307" s="11">
        <f t="shared" si="17"/>
        <v>-31.222727273000004</v>
      </c>
      <c r="K307" s="12">
        <f t="shared" si="19"/>
        <v>31.222727273000004</v>
      </c>
    </row>
    <row r="308" spans="6:11" x14ac:dyDescent="0.3">
      <c r="F308" s="20">
        <v>36.818181817999999</v>
      </c>
      <c r="G308" s="20">
        <v>2.9164414E-2</v>
      </c>
      <c r="H308" s="21">
        <v>2.462613E-2</v>
      </c>
      <c r="I308" s="12">
        <f t="shared" si="18"/>
        <v>-27.131818182000004</v>
      </c>
      <c r="J308" s="11">
        <f t="shared" si="17"/>
        <v>-27.131818182000004</v>
      </c>
      <c r="K308" s="12">
        <f t="shared" si="19"/>
        <v>27.131818182000004</v>
      </c>
    </row>
    <row r="309" spans="6:11" x14ac:dyDescent="0.3">
      <c r="F309" s="20">
        <v>40.909090909</v>
      </c>
      <c r="G309" s="20">
        <v>2.8813465999999999E-2</v>
      </c>
      <c r="H309" s="21">
        <v>3.1456372000000003E-2</v>
      </c>
      <c r="I309" s="12">
        <f t="shared" ref="I309:I340" si="20">F309-$B$277</f>
        <v>-23.040909091000003</v>
      </c>
      <c r="J309" s="11">
        <f t="shared" si="17"/>
        <v>-23.040909091000003</v>
      </c>
      <c r="K309" s="12">
        <f t="shared" si="19"/>
        <v>23.040909091000003</v>
      </c>
    </row>
    <row r="310" spans="6:11" x14ac:dyDescent="0.3">
      <c r="F310" s="20">
        <v>45</v>
      </c>
      <c r="G310" s="20">
        <v>3.6961528E-2</v>
      </c>
      <c r="H310" s="21">
        <v>3.9547770000000003E-2</v>
      </c>
      <c r="I310" s="12">
        <f t="shared" si="20"/>
        <v>-18.950000000000003</v>
      </c>
      <c r="J310" s="11">
        <f t="shared" si="17"/>
        <v>-18.950000000000003</v>
      </c>
      <c r="K310" s="12">
        <f t="shared" si="19"/>
        <v>18.950000000000003</v>
      </c>
    </row>
    <row r="311" spans="6:11" x14ac:dyDescent="0.3">
      <c r="F311" s="20">
        <v>49.090909091</v>
      </c>
      <c r="G311" s="20">
        <v>5.0696552999999998E-2</v>
      </c>
      <c r="H311" s="21">
        <v>4.8217846000000002E-2</v>
      </c>
      <c r="I311" s="12">
        <f t="shared" si="20"/>
        <v>-14.859090909000003</v>
      </c>
      <c r="J311" s="11">
        <f t="shared" si="17"/>
        <v>-14.859090909000003</v>
      </c>
      <c r="K311" s="12">
        <f t="shared" si="19"/>
        <v>14.859090909000003</v>
      </c>
    </row>
    <row r="312" spans="6:11" x14ac:dyDescent="0.3">
      <c r="F312" s="20">
        <v>53.181818182000001</v>
      </c>
      <c r="G312" s="20">
        <v>6.3274271000000007E-2</v>
      </c>
      <c r="H312" s="21">
        <v>5.6441048000000001E-2</v>
      </c>
      <c r="I312" s="12">
        <f t="shared" si="20"/>
        <v>-10.768181818000002</v>
      </c>
      <c r="J312" s="11">
        <f t="shared" si="17"/>
        <v>-10.768181818000002</v>
      </c>
      <c r="K312" s="12">
        <f t="shared" si="19"/>
        <v>10.768181818000002</v>
      </c>
    </row>
    <row r="313" spans="6:11" x14ac:dyDescent="0.3">
      <c r="F313" s="20">
        <v>57.272727273000001</v>
      </c>
      <c r="G313" s="20">
        <v>5.2303014000000002E-2</v>
      </c>
      <c r="H313" s="21">
        <v>6.3026969000000002E-2</v>
      </c>
      <c r="I313" s="12">
        <f t="shared" si="20"/>
        <v>-6.6772727270000019</v>
      </c>
      <c r="J313" s="11">
        <f t="shared" si="17"/>
        <v>-6.6772727270000019</v>
      </c>
      <c r="K313" s="12">
        <f t="shared" si="19"/>
        <v>6.6772727270000019</v>
      </c>
    </row>
    <row r="314" spans="6:11" x14ac:dyDescent="0.3">
      <c r="F314" s="20">
        <v>61.363636364000001</v>
      </c>
      <c r="G314" s="20">
        <v>6.4197457999999999E-2</v>
      </c>
      <c r="H314" s="21">
        <v>6.6896354000000005E-2</v>
      </c>
      <c r="I314" s="12">
        <f t="shared" si="20"/>
        <v>-2.5863636360000015</v>
      </c>
      <c r="J314" s="11">
        <f t="shared" si="17"/>
        <v>-2.5863636360000015</v>
      </c>
      <c r="K314" s="12">
        <f t="shared" si="19"/>
        <v>2.5863636360000015</v>
      </c>
    </row>
    <row r="315" spans="6:11" x14ac:dyDescent="0.3">
      <c r="F315" s="20">
        <v>65.454545455000002</v>
      </c>
      <c r="G315" s="20">
        <v>6.1460327000000002E-2</v>
      </c>
      <c r="H315" s="21">
        <v>6.7369371999999997E-2</v>
      </c>
      <c r="I315" s="12">
        <f t="shared" si="20"/>
        <v>1.5045454549999988</v>
      </c>
      <c r="J315" s="11">
        <f t="shared" si="17"/>
        <v>1.5045454549999988</v>
      </c>
      <c r="K315" s="12">
        <f t="shared" si="19"/>
        <v>1.5045454549999988</v>
      </c>
    </row>
    <row r="316" spans="6:11" x14ac:dyDescent="0.3">
      <c r="F316" s="20">
        <v>69.545454544999998</v>
      </c>
      <c r="G316" s="20">
        <v>6.0391407000000001E-2</v>
      </c>
      <c r="H316" s="21">
        <v>6.4360750999999994E-2</v>
      </c>
      <c r="I316" s="12">
        <f t="shared" si="20"/>
        <v>5.5954545449999955</v>
      </c>
      <c r="J316" s="11">
        <f t="shared" si="17"/>
        <v>5.5954545449999955</v>
      </c>
      <c r="K316" s="12">
        <f t="shared" si="19"/>
        <v>5.5954545449999955</v>
      </c>
    </row>
    <row r="317" spans="6:11" x14ac:dyDescent="0.3">
      <c r="F317" s="20">
        <v>73.636363635999999</v>
      </c>
      <c r="G317" s="20">
        <v>7.7929904999999994E-2</v>
      </c>
      <c r="H317" s="21">
        <v>5.8404884999999997E-2</v>
      </c>
      <c r="I317" s="12">
        <f t="shared" si="20"/>
        <v>9.6863636359999958</v>
      </c>
      <c r="J317" s="11">
        <f t="shared" si="17"/>
        <v>9.6863636359999958</v>
      </c>
      <c r="K317" s="12">
        <f t="shared" si="19"/>
        <v>9.6863636359999958</v>
      </c>
    </row>
    <row r="318" spans="6:11" x14ac:dyDescent="0.3">
      <c r="F318" s="20">
        <v>77.727272726999999</v>
      </c>
      <c r="G318" s="20">
        <v>6.1988369000000001E-2</v>
      </c>
      <c r="H318" s="21">
        <v>5.0500771999999999E-2</v>
      </c>
      <c r="I318" s="12">
        <f t="shared" si="20"/>
        <v>13.777272726999996</v>
      </c>
      <c r="J318" s="11">
        <f t="shared" si="17"/>
        <v>13.777272726999996</v>
      </c>
      <c r="K318" s="12">
        <f t="shared" si="19"/>
        <v>13.777272726999996</v>
      </c>
    </row>
    <row r="319" spans="6:11" x14ac:dyDescent="0.3">
      <c r="F319" s="20">
        <v>81.818181817999999</v>
      </c>
      <c r="G319" s="20">
        <v>3.7747430999999998E-2</v>
      </c>
      <c r="H319" s="21">
        <v>4.1838533999999997E-2</v>
      </c>
      <c r="I319" s="12">
        <f t="shared" si="20"/>
        <v>17.868181817999996</v>
      </c>
      <c r="J319" s="11">
        <f t="shared" si="17"/>
        <v>17.868181817999996</v>
      </c>
      <c r="K319" s="12">
        <f t="shared" si="19"/>
        <v>17.868181817999996</v>
      </c>
    </row>
    <row r="320" spans="6:11" x14ac:dyDescent="0.3">
      <c r="F320" s="20">
        <v>85.909090909</v>
      </c>
      <c r="G320" s="20">
        <v>2.0429288E-2</v>
      </c>
      <c r="H320" s="21">
        <v>3.3510184999999998E-2</v>
      </c>
      <c r="I320" s="12">
        <f t="shared" si="20"/>
        <v>21.959090908999997</v>
      </c>
      <c r="J320" s="11">
        <f t="shared" si="17"/>
        <v>21.959090908999997</v>
      </c>
      <c r="K320" s="12">
        <f t="shared" si="19"/>
        <v>21.959090908999997</v>
      </c>
    </row>
    <row r="321" spans="1:13" s="15" customFormat="1" x14ac:dyDescent="0.3">
      <c r="F321" s="23">
        <v>90</v>
      </c>
      <c r="G321" s="23">
        <v>1.9638862999999999E-2</v>
      </c>
      <c r="H321" s="24">
        <v>2.6299638E-2</v>
      </c>
      <c r="I321" s="19">
        <f t="shared" si="20"/>
        <v>26.049999999999997</v>
      </c>
      <c r="J321" s="18">
        <f t="shared" si="17"/>
        <v>26.049999999999997</v>
      </c>
      <c r="K321" s="12">
        <f t="shared" si="19"/>
        <v>26.049999999999997</v>
      </c>
    </row>
    <row r="322" spans="1:13" x14ac:dyDescent="0.3">
      <c r="A322" s="9">
        <v>20241115</v>
      </c>
      <c r="B322" s="9">
        <v>67.98</v>
      </c>
      <c r="C322" s="9">
        <v>10.89</v>
      </c>
      <c r="D322" s="9">
        <v>0.55000000000000004</v>
      </c>
      <c r="E322" s="9">
        <v>0.95</v>
      </c>
      <c r="F322" s="20">
        <v>-90</v>
      </c>
      <c r="G322" s="20">
        <v>2.1949561999999999E-2</v>
      </c>
      <c r="H322" s="21">
        <v>1.2109969999999999E-2</v>
      </c>
      <c r="I322" s="12">
        <f t="shared" si="20"/>
        <v>-153.94999999999999</v>
      </c>
      <c r="J322" s="11">
        <f t="shared" si="17"/>
        <v>26.050000000000011</v>
      </c>
      <c r="K322" s="12">
        <f>MIN(ABS(F322-$B$322), ABS(F322-180-$B$322), ABS(F322+180-$B$322))</f>
        <v>22.019999999999996</v>
      </c>
      <c r="L322" s="13" cm="1">
        <f t="array" ref="L322">SQRT(SUMPRODUCT(G322:G366,K322:K366*K322:K366))</f>
        <v>35.528112333583607</v>
      </c>
      <c r="M322" s="14" cm="1">
        <f t="array" ref="M322">SUMPRODUCT(G322:G366,ABS(K322:K366))</f>
        <v>25.939490356470444</v>
      </c>
    </row>
    <row r="323" spans="1:13" x14ac:dyDescent="0.3">
      <c r="F323" s="20">
        <v>-85.909090909</v>
      </c>
      <c r="G323" s="20">
        <v>1.6949414999999999E-2</v>
      </c>
      <c r="H323" s="21">
        <v>1.2109969999999999E-2</v>
      </c>
      <c r="I323" s="12">
        <f t="shared" si="20"/>
        <v>-149.859090909</v>
      </c>
      <c r="J323" s="11">
        <f t="shared" si="17"/>
        <v>30.140909090999997</v>
      </c>
      <c r="K323" s="12">
        <f t="shared" ref="K323:K366" si="21">MIN(ABS(F323-$B$322), ABS(F323-180-$B$322), ABS(F323+180-$B$322))</f>
        <v>26.110909090999996</v>
      </c>
    </row>
    <row r="324" spans="1:13" x14ac:dyDescent="0.3">
      <c r="F324" s="20">
        <v>-81.818181817999999</v>
      </c>
      <c r="G324" s="20">
        <v>1.7128180999999999E-2</v>
      </c>
      <c r="H324" s="21">
        <v>1.2109969999999999E-2</v>
      </c>
      <c r="I324" s="12">
        <f t="shared" si="20"/>
        <v>-145.76818181800002</v>
      </c>
      <c r="J324" s="11">
        <f t="shared" si="17"/>
        <v>34.231818181999984</v>
      </c>
      <c r="K324" s="12">
        <f t="shared" si="21"/>
        <v>30.201818181999997</v>
      </c>
      <c r="L324">
        <f>C322/L322</f>
        <v>0.3065178329135721</v>
      </c>
    </row>
    <row r="325" spans="1:13" x14ac:dyDescent="0.3">
      <c r="F325" s="20">
        <v>-77.727272726999999</v>
      </c>
      <c r="G325" s="20">
        <v>1.5049659E-2</v>
      </c>
      <c r="H325" s="21">
        <v>1.2109969999999999E-2</v>
      </c>
      <c r="I325" s="12">
        <f t="shared" si="20"/>
        <v>-141.677272727</v>
      </c>
      <c r="J325" s="11">
        <f t="shared" si="17"/>
        <v>38.322727272999998</v>
      </c>
      <c r="K325" s="12">
        <f t="shared" si="21"/>
        <v>34.292727272999997</v>
      </c>
    </row>
    <row r="326" spans="1:13" x14ac:dyDescent="0.3">
      <c r="F326" s="20">
        <v>-73.636363635999999</v>
      </c>
      <c r="G326" s="20">
        <v>1.3699220999999999E-2</v>
      </c>
      <c r="H326" s="21">
        <v>1.2109969999999999E-2</v>
      </c>
      <c r="I326" s="12">
        <f t="shared" si="20"/>
        <v>-137.58636363599999</v>
      </c>
      <c r="J326" s="11">
        <f t="shared" si="17"/>
        <v>42.413636364000013</v>
      </c>
      <c r="K326" s="12">
        <f t="shared" si="21"/>
        <v>38.383636363999997</v>
      </c>
    </row>
    <row r="327" spans="1:13" x14ac:dyDescent="0.3">
      <c r="F327" s="20">
        <v>-69.545454544999998</v>
      </c>
      <c r="G327" s="20">
        <v>1.3480561E-2</v>
      </c>
      <c r="H327" s="21">
        <v>1.2109969999999999E-2</v>
      </c>
      <c r="I327" s="12">
        <f t="shared" si="20"/>
        <v>-133.495454545</v>
      </c>
      <c r="J327" s="11">
        <f t="shared" ref="J327:J366" si="22">IF(I327&gt;90,-90+(I327-90), IF(-I327&gt;90,90+(I327+90),I327))</f>
        <v>46.504545454999999</v>
      </c>
      <c r="K327" s="12">
        <f t="shared" si="21"/>
        <v>42.474545454999998</v>
      </c>
    </row>
    <row r="328" spans="1:13" x14ac:dyDescent="0.3">
      <c r="F328" s="20">
        <v>-65.454545455000002</v>
      </c>
      <c r="G328" s="20">
        <v>1.4564462E-2</v>
      </c>
      <c r="H328" s="21">
        <v>1.2109969999999999E-2</v>
      </c>
      <c r="I328" s="12">
        <f t="shared" si="20"/>
        <v>-129.404545455</v>
      </c>
      <c r="J328" s="11">
        <f t="shared" si="22"/>
        <v>50.595454544999996</v>
      </c>
      <c r="K328" s="12">
        <f t="shared" si="21"/>
        <v>46.565454544999994</v>
      </c>
    </row>
    <row r="329" spans="1:13" x14ac:dyDescent="0.3">
      <c r="F329" s="20">
        <v>-61.363636364000001</v>
      </c>
      <c r="G329" s="20">
        <v>1.4877003999999999E-2</v>
      </c>
      <c r="H329" s="21">
        <v>1.2109969999999999E-2</v>
      </c>
      <c r="I329" s="12">
        <f t="shared" si="20"/>
        <v>-125.313636364</v>
      </c>
      <c r="J329" s="11">
        <f t="shared" si="22"/>
        <v>54.686363635999996</v>
      </c>
      <c r="K329" s="12">
        <f t="shared" si="21"/>
        <v>50.656363635999995</v>
      </c>
    </row>
    <row r="330" spans="1:13" x14ac:dyDescent="0.3">
      <c r="F330" s="20">
        <v>-57.272727273000001</v>
      </c>
      <c r="G330" s="20">
        <v>1.3434846E-2</v>
      </c>
      <c r="H330" s="21">
        <v>1.2109969999999999E-2</v>
      </c>
      <c r="I330" s="12">
        <f t="shared" si="20"/>
        <v>-121.222727273</v>
      </c>
      <c r="J330" s="11">
        <f t="shared" si="22"/>
        <v>58.777272726999996</v>
      </c>
      <c r="K330" s="12">
        <f t="shared" si="21"/>
        <v>54.747272726999995</v>
      </c>
    </row>
    <row r="331" spans="1:13" x14ac:dyDescent="0.3">
      <c r="F331" s="20">
        <v>-53.181818182000001</v>
      </c>
      <c r="G331" s="20">
        <v>1.2125538E-2</v>
      </c>
      <c r="H331" s="21">
        <v>1.2109969999999999E-2</v>
      </c>
      <c r="I331" s="12">
        <f t="shared" si="20"/>
        <v>-117.131818182</v>
      </c>
      <c r="J331" s="11">
        <f t="shared" si="22"/>
        <v>62.868181817999996</v>
      </c>
      <c r="K331" s="12">
        <f t="shared" si="21"/>
        <v>58.838181817999995</v>
      </c>
    </row>
    <row r="332" spans="1:13" x14ac:dyDescent="0.3">
      <c r="F332" s="20">
        <v>-49.090909091</v>
      </c>
      <c r="G332" s="20">
        <v>1.0430547E-2</v>
      </c>
      <c r="H332" s="21">
        <v>1.2109969999999999E-2</v>
      </c>
      <c r="I332" s="12">
        <f t="shared" si="20"/>
        <v>-113.040909091</v>
      </c>
      <c r="J332" s="11">
        <f t="shared" si="22"/>
        <v>66.959090908999997</v>
      </c>
      <c r="K332" s="12">
        <f t="shared" si="21"/>
        <v>62.929090908999981</v>
      </c>
    </row>
    <row r="333" spans="1:13" x14ac:dyDescent="0.3">
      <c r="F333" s="20">
        <v>-45</v>
      </c>
      <c r="G333" s="20">
        <v>1.0302192999999999E-2</v>
      </c>
      <c r="H333" s="21">
        <v>1.2109969999999999E-2</v>
      </c>
      <c r="I333" s="12">
        <f t="shared" si="20"/>
        <v>-108.95</v>
      </c>
      <c r="J333" s="11">
        <f t="shared" si="22"/>
        <v>71.05</v>
      </c>
      <c r="K333" s="12">
        <f t="shared" si="21"/>
        <v>67.02</v>
      </c>
    </row>
    <row r="334" spans="1:13" x14ac:dyDescent="0.3">
      <c r="F334" s="20">
        <v>-40.909090909</v>
      </c>
      <c r="G334" s="20">
        <v>9.9364780000000003E-3</v>
      </c>
      <c r="H334" s="21">
        <v>1.2109969999999999E-2</v>
      </c>
      <c r="I334" s="12">
        <f t="shared" si="20"/>
        <v>-104.859090909</v>
      </c>
      <c r="J334" s="11">
        <f t="shared" si="22"/>
        <v>75.140909090999997</v>
      </c>
      <c r="K334" s="12">
        <f t="shared" si="21"/>
        <v>71.110909091000011</v>
      </c>
    </row>
    <row r="335" spans="1:13" x14ac:dyDescent="0.3">
      <c r="F335" s="20">
        <v>-36.818181817999999</v>
      </c>
      <c r="G335" s="20">
        <v>1.0340151000000001E-2</v>
      </c>
      <c r="H335" s="21">
        <v>1.2109969999999999E-2</v>
      </c>
      <c r="I335" s="12">
        <f t="shared" si="20"/>
        <v>-100.768181818</v>
      </c>
      <c r="J335" s="11">
        <f t="shared" si="22"/>
        <v>79.231818181999998</v>
      </c>
      <c r="K335" s="12">
        <f t="shared" si="21"/>
        <v>75.201818181999997</v>
      </c>
    </row>
    <row r="336" spans="1:13" x14ac:dyDescent="0.3">
      <c r="F336" s="20">
        <v>-32.727272726999999</v>
      </c>
      <c r="G336" s="20">
        <v>9.4012839999999993E-3</v>
      </c>
      <c r="H336" s="21">
        <v>1.2109969999999999E-2</v>
      </c>
      <c r="I336" s="12">
        <f t="shared" si="20"/>
        <v>-96.677272727000002</v>
      </c>
      <c r="J336" s="11">
        <f t="shared" si="22"/>
        <v>83.322727272999998</v>
      </c>
      <c r="K336" s="12">
        <f t="shared" si="21"/>
        <v>79.292727272999983</v>
      </c>
    </row>
    <row r="337" spans="6:11" x14ac:dyDescent="0.3">
      <c r="F337" s="20">
        <v>-28.636363635999999</v>
      </c>
      <c r="G337" s="20">
        <v>8.7780670000000005E-3</v>
      </c>
      <c r="H337" s="21">
        <v>1.2109969999999999E-2</v>
      </c>
      <c r="I337" s="12">
        <f t="shared" si="20"/>
        <v>-92.586363636000002</v>
      </c>
      <c r="J337" s="11">
        <f t="shared" si="22"/>
        <v>87.413636363999998</v>
      </c>
      <c r="K337" s="12">
        <f t="shared" si="21"/>
        <v>83.383636363999997</v>
      </c>
    </row>
    <row r="338" spans="6:11" x14ac:dyDescent="0.3">
      <c r="F338" s="20">
        <v>-24.545454544999998</v>
      </c>
      <c r="G338" s="20">
        <v>8.229597E-3</v>
      </c>
      <c r="H338" s="21">
        <v>1.2109969999999999E-2</v>
      </c>
      <c r="I338" s="12">
        <f t="shared" si="20"/>
        <v>-88.495454545000001</v>
      </c>
      <c r="J338" s="11">
        <f t="shared" si="22"/>
        <v>-88.495454545000001</v>
      </c>
      <c r="K338" s="12">
        <f t="shared" si="21"/>
        <v>87.474545455000012</v>
      </c>
    </row>
    <row r="339" spans="6:11" x14ac:dyDescent="0.3">
      <c r="F339" s="20">
        <v>-20.454545455000002</v>
      </c>
      <c r="G339" s="20">
        <v>8.1289550000000002E-3</v>
      </c>
      <c r="H339" s="21">
        <v>1.2109969999999999E-2</v>
      </c>
      <c r="I339" s="12">
        <f t="shared" si="20"/>
        <v>-84.404545455000004</v>
      </c>
      <c r="J339" s="11">
        <f t="shared" si="22"/>
        <v>-84.404545455000004</v>
      </c>
      <c r="K339" s="12">
        <f t="shared" si="21"/>
        <v>88.434545455000006</v>
      </c>
    </row>
    <row r="340" spans="6:11" x14ac:dyDescent="0.3">
      <c r="F340" s="20">
        <v>-16.363636364000001</v>
      </c>
      <c r="G340" s="20">
        <v>7.6556489999999996E-3</v>
      </c>
      <c r="H340" s="21">
        <v>1.2109969999999999E-2</v>
      </c>
      <c r="I340" s="12">
        <f t="shared" si="20"/>
        <v>-80.313636364000004</v>
      </c>
      <c r="J340" s="11">
        <f t="shared" si="22"/>
        <v>-80.313636364000004</v>
      </c>
      <c r="K340" s="12">
        <f t="shared" si="21"/>
        <v>84.343636364000005</v>
      </c>
    </row>
    <row r="341" spans="6:11" x14ac:dyDescent="0.3">
      <c r="F341" s="20">
        <v>-12.272727272999999</v>
      </c>
      <c r="G341" s="20">
        <v>7.7988429999999997E-3</v>
      </c>
      <c r="H341" s="21">
        <v>1.2109969999999999E-2</v>
      </c>
      <c r="I341" s="12">
        <f t="shared" ref="I341:I366" si="23">F341-$B$277</f>
        <v>-76.222727273000004</v>
      </c>
      <c r="J341" s="11">
        <f t="shared" si="22"/>
        <v>-76.222727273000004</v>
      </c>
      <c r="K341" s="12">
        <f t="shared" si="21"/>
        <v>80.252727273000005</v>
      </c>
    </row>
    <row r="342" spans="6:11" x14ac:dyDescent="0.3">
      <c r="F342" s="20">
        <v>-8.1818181820000007</v>
      </c>
      <c r="G342" s="20">
        <v>8.0835739999999996E-3</v>
      </c>
      <c r="H342" s="21">
        <v>1.2109969999999999E-2</v>
      </c>
      <c r="I342" s="12">
        <f t="shared" si="23"/>
        <v>-72.131818182000004</v>
      </c>
      <c r="J342" s="11">
        <f t="shared" si="22"/>
        <v>-72.131818182000004</v>
      </c>
      <c r="K342" s="12">
        <f t="shared" si="21"/>
        <v>76.161818182000005</v>
      </c>
    </row>
    <row r="343" spans="6:11" x14ac:dyDescent="0.3">
      <c r="F343" s="20">
        <v>-4.0909090910000003</v>
      </c>
      <c r="G343" s="20">
        <v>8.7684519999999995E-3</v>
      </c>
      <c r="H343" s="21">
        <v>1.2109969999999999E-2</v>
      </c>
      <c r="I343" s="12">
        <f t="shared" si="23"/>
        <v>-68.040909091000003</v>
      </c>
      <c r="J343" s="11">
        <f t="shared" si="22"/>
        <v>-68.040909091000003</v>
      </c>
      <c r="K343" s="12">
        <f t="shared" si="21"/>
        <v>72.070909091000004</v>
      </c>
    </row>
    <row r="344" spans="6:11" x14ac:dyDescent="0.3">
      <c r="F344" s="20">
        <v>0</v>
      </c>
      <c r="G344" s="20">
        <v>9.7393840000000002E-3</v>
      </c>
      <c r="H344" s="21">
        <v>1.2109969999999999E-2</v>
      </c>
      <c r="I344" s="12">
        <f t="shared" si="23"/>
        <v>-63.95</v>
      </c>
      <c r="J344" s="11">
        <f t="shared" si="22"/>
        <v>-63.95</v>
      </c>
      <c r="K344" s="12">
        <f t="shared" si="21"/>
        <v>67.98</v>
      </c>
    </row>
    <row r="345" spans="6:11" x14ac:dyDescent="0.3">
      <c r="F345" s="20">
        <v>4.0909090910000003</v>
      </c>
      <c r="G345" s="20">
        <v>9.0894949999999995E-3</v>
      </c>
      <c r="H345" s="21">
        <v>1.2109972E-2</v>
      </c>
      <c r="I345" s="12">
        <f t="shared" si="23"/>
        <v>-59.859090909000003</v>
      </c>
      <c r="J345" s="11">
        <f t="shared" si="22"/>
        <v>-59.859090909000003</v>
      </c>
      <c r="K345" s="12">
        <f t="shared" si="21"/>
        <v>63.889090909000004</v>
      </c>
    </row>
    <row r="346" spans="6:11" x14ac:dyDescent="0.3">
      <c r="F346" s="20">
        <v>8.1818181820000007</v>
      </c>
      <c r="G346" s="20">
        <v>8.6699900000000007E-3</v>
      </c>
      <c r="H346" s="21">
        <v>1.2109989999999999E-2</v>
      </c>
      <c r="I346" s="12">
        <f t="shared" si="23"/>
        <v>-55.768181818000002</v>
      </c>
      <c r="J346" s="11">
        <f t="shared" si="22"/>
        <v>-55.768181818000002</v>
      </c>
      <c r="K346" s="12">
        <f t="shared" si="21"/>
        <v>59.798181818000003</v>
      </c>
    </row>
    <row r="347" spans="6:11" x14ac:dyDescent="0.3">
      <c r="F347" s="20">
        <v>12.272727272999999</v>
      </c>
      <c r="G347" s="20">
        <v>8.9490509999999995E-3</v>
      </c>
      <c r="H347" s="21">
        <v>1.2110114E-2</v>
      </c>
      <c r="I347" s="12">
        <f t="shared" si="23"/>
        <v>-51.677272727000002</v>
      </c>
      <c r="J347" s="11">
        <f t="shared" si="22"/>
        <v>-51.677272727000002</v>
      </c>
      <c r="K347" s="12">
        <f t="shared" si="21"/>
        <v>55.707272727000003</v>
      </c>
    </row>
    <row r="348" spans="6:11" x14ac:dyDescent="0.3">
      <c r="F348" s="20">
        <v>16.363636364000001</v>
      </c>
      <c r="G348" s="20">
        <v>1.0474084999999999E-2</v>
      </c>
      <c r="H348" s="21">
        <v>1.2110888E-2</v>
      </c>
      <c r="I348" s="12">
        <f t="shared" si="23"/>
        <v>-47.586363636000002</v>
      </c>
      <c r="J348" s="11">
        <f t="shared" si="22"/>
        <v>-47.586363636000002</v>
      </c>
      <c r="K348" s="12">
        <f t="shared" si="21"/>
        <v>51.616363636000003</v>
      </c>
    </row>
    <row r="349" spans="6:11" x14ac:dyDescent="0.3">
      <c r="F349" s="20">
        <v>20.454545455000002</v>
      </c>
      <c r="G349" s="20">
        <v>1.1343819999999999E-2</v>
      </c>
      <c r="H349" s="21">
        <v>1.2115041E-2</v>
      </c>
      <c r="I349" s="12">
        <f t="shared" si="23"/>
        <v>-43.495454545000001</v>
      </c>
      <c r="J349" s="11">
        <f t="shared" si="22"/>
        <v>-43.495454545000001</v>
      </c>
      <c r="K349" s="12">
        <f t="shared" si="21"/>
        <v>47.525454545000002</v>
      </c>
    </row>
    <row r="350" spans="6:11" x14ac:dyDescent="0.3">
      <c r="F350" s="20">
        <v>24.545454544999998</v>
      </c>
      <c r="G350" s="20">
        <v>1.0063692000000001E-2</v>
      </c>
      <c r="H350" s="21">
        <v>1.2134301E-2</v>
      </c>
      <c r="I350" s="12">
        <f t="shared" si="23"/>
        <v>-39.404545455000004</v>
      </c>
      <c r="J350" s="11">
        <f t="shared" si="22"/>
        <v>-39.404545455000004</v>
      </c>
      <c r="K350" s="12">
        <f t="shared" si="21"/>
        <v>43.434545455000006</v>
      </c>
    </row>
    <row r="351" spans="6:11" x14ac:dyDescent="0.3">
      <c r="F351" s="20">
        <v>28.636363635999999</v>
      </c>
      <c r="G351" s="20">
        <v>1.4251152E-2</v>
      </c>
      <c r="H351" s="21">
        <v>1.2211351E-2</v>
      </c>
      <c r="I351" s="12">
        <f t="shared" si="23"/>
        <v>-35.313636364000004</v>
      </c>
      <c r="J351" s="11">
        <f t="shared" si="22"/>
        <v>-35.313636364000004</v>
      </c>
      <c r="K351" s="12">
        <f t="shared" si="21"/>
        <v>39.343636364000005</v>
      </c>
    </row>
    <row r="352" spans="6:11" x14ac:dyDescent="0.3">
      <c r="F352" s="20">
        <v>32.727272726999999</v>
      </c>
      <c r="G352" s="20">
        <v>1.7355483000000001E-2</v>
      </c>
      <c r="H352" s="21">
        <v>1.2476831000000001E-2</v>
      </c>
      <c r="I352" s="12">
        <f t="shared" si="23"/>
        <v>-31.222727273000004</v>
      </c>
      <c r="J352" s="11">
        <f t="shared" si="22"/>
        <v>-31.222727273000004</v>
      </c>
      <c r="K352" s="12">
        <f t="shared" si="21"/>
        <v>35.252727273000005</v>
      </c>
    </row>
    <row r="353" spans="6:11" x14ac:dyDescent="0.3">
      <c r="F353" s="20">
        <v>36.818181817999999</v>
      </c>
      <c r="G353" s="20">
        <v>2.1358766000000001E-2</v>
      </c>
      <c r="H353" s="21">
        <v>1.326287E-2</v>
      </c>
      <c r="I353" s="12">
        <f t="shared" si="23"/>
        <v>-27.131818182000004</v>
      </c>
      <c r="J353" s="11">
        <f t="shared" si="22"/>
        <v>-27.131818182000004</v>
      </c>
      <c r="K353" s="12">
        <f t="shared" si="21"/>
        <v>31.161818182000005</v>
      </c>
    </row>
    <row r="354" spans="6:11" x14ac:dyDescent="0.3">
      <c r="F354" s="20">
        <v>40.909090909</v>
      </c>
      <c r="G354" s="20">
        <v>2.0729427000000002E-2</v>
      </c>
      <c r="H354" s="21">
        <v>1.5256464000000001E-2</v>
      </c>
      <c r="I354" s="12">
        <f t="shared" si="23"/>
        <v>-23.040909091000003</v>
      </c>
      <c r="J354" s="11">
        <f t="shared" si="22"/>
        <v>-23.040909091000003</v>
      </c>
      <c r="K354" s="12">
        <f t="shared" si="21"/>
        <v>27.070909091000004</v>
      </c>
    </row>
    <row r="355" spans="6:11" x14ac:dyDescent="0.3">
      <c r="F355" s="20">
        <v>45</v>
      </c>
      <c r="G355" s="20">
        <v>2.8724530000000002E-2</v>
      </c>
      <c r="H355" s="21">
        <v>1.9567706000000001E-2</v>
      </c>
      <c r="I355" s="12">
        <f t="shared" si="23"/>
        <v>-18.950000000000003</v>
      </c>
      <c r="J355" s="11">
        <f t="shared" si="22"/>
        <v>-18.950000000000003</v>
      </c>
      <c r="K355" s="12">
        <f t="shared" si="21"/>
        <v>22.980000000000004</v>
      </c>
    </row>
    <row r="356" spans="6:11" x14ac:dyDescent="0.3">
      <c r="F356" s="20">
        <v>49.090909091</v>
      </c>
      <c r="G356" s="20">
        <v>2.9885521000000002E-2</v>
      </c>
      <c r="H356" s="21">
        <v>2.7460811000000002E-2</v>
      </c>
      <c r="I356" s="12">
        <f t="shared" si="23"/>
        <v>-14.859090909000003</v>
      </c>
      <c r="J356" s="11">
        <f t="shared" si="22"/>
        <v>-14.859090909000003</v>
      </c>
      <c r="K356" s="12">
        <f t="shared" si="21"/>
        <v>18.889090909000004</v>
      </c>
    </row>
    <row r="357" spans="6:11" x14ac:dyDescent="0.3">
      <c r="F357" s="20">
        <v>53.181818182000001</v>
      </c>
      <c r="G357" s="20">
        <v>3.9257087000000003E-2</v>
      </c>
      <c r="H357" s="21">
        <v>3.9551125999999999E-2</v>
      </c>
      <c r="I357" s="12">
        <f t="shared" si="23"/>
        <v>-10.768181818000002</v>
      </c>
      <c r="J357" s="11">
        <f t="shared" si="22"/>
        <v>-10.768181818000002</v>
      </c>
      <c r="K357" s="12">
        <f t="shared" si="21"/>
        <v>14.798181818000003</v>
      </c>
    </row>
    <row r="358" spans="6:11" x14ac:dyDescent="0.3">
      <c r="F358" s="20">
        <v>57.272727273000001</v>
      </c>
      <c r="G358" s="20">
        <v>5.1714217E-2</v>
      </c>
      <c r="H358" s="21">
        <v>5.4710762000000003E-2</v>
      </c>
      <c r="I358" s="12">
        <f t="shared" si="23"/>
        <v>-6.6772727270000019</v>
      </c>
      <c r="J358" s="11">
        <f t="shared" si="22"/>
        <v>-6.6772727270000019</v>
      </c>
      <c r="K358" s="12">
        <f t="shared" si="21"/>
        <v>10.707272727000003</v>
      </c>
    </row>
    <row r="359" spans="6:11" x14ac:dyDescent="0.3">
      <c r="F359" s="20">
        <v>61.363636364000001</v>
      </c>
      <c r="G359" s="20">
        <v>6.5931910999999996E-2</v>
      </c>
      <c r="H359" s="21">
        <v>6.9545150999999999E-2</v>
      </c>
      <c r="I359" s="12">
        <f t="shared" si="23"/>
        <v>-2.5863636360000015</v>
      </c>
      <c r="J359" s="11">
        <f t="shared" si="22"/>
        <v>-2.5863636360000015</v>
      </c>
      <c r="K359" s="12">
        <f t="shared" si="21"/>
        <v>6.6163636360000027</v>
      </c>
    </row>
    <row r="360" spans="6:11" x14ac:dyDescent="0.3">
      <c r="F360" s="20">
        <v>65.454545455000002</v>
      </c>
      <c r="G360" s="20">
        <v>7.4676787999999994E-2</v>
      </c>
      <c r="H360" s="21">
        <v>7.9358590000000007E-2</v>
      </c>
      <c r="I360" s="12">
        <f t="shared" si="23"/>
        <v>1.5045454549999988</v>
      </c>
      <c r="J360" s="11">
        <f t="shared" si="22"/>
        <v>1.5045454549999988</v>
      </c>
      <c r="K360" s="12">
        <f t="shared" si="21"/>
        <v>2.5254545450000023</v>
      </c>
    </row>
    <row r="361" spans="6:11" x14ac:dyDescent="0.3">
      <c r="F361" s="20">
        <v>69.545454544999998</v>
      </c>
      <c r="G361" s="20">
        <v>8.5142897999999995E-2</v>
      </c>
      <c r="H361" s="21">
        <v>8.0490712000000006E-2</v>
      </c>
      <c r="I361" s="12">
        <f t="shared" si="23"/>
        <v>5.5954545449999955</v>
      </c>
      <c r="J361" s="11">
        <f t="shared" si="22"/>
        <v>5.5954545449999955</v>
      </c>
      <c r="K361" s="12">
        <f t="shared" si="21"/>
        <v>1.5654545449999944</v>
      </c>
    </row>
    <row r="362" spans="6:11" x14ac:dyDescent="0.3">
      <c r="F362" s="20">
        <v>73.636363635999999</v>
      </c>
      <c r="G362" s="20">
        <v>7.7476080000000003E-2</v>
      </c>
      <c r="H362" s="21">
        <v>7.2495001000000003E-2</v>
      </c>
      <c r="I362" s="12">
        <f t="shared" si="23"/>
        <v>9.6863636359999958</v>
      </c>
      <c r="J362" s="11">
        <f t="shared" si="22"/>
        <v>9.6863636359999958</v>
      </c>
      <c r="K362" s="12">
        <f t="shared" si="21"/>
        <v>5.6563636359999947</v>
      </c>
    </row>
    <row r="363" spans="6:11" x14ac:dyDescent="0.3">
      <c r="F363" s="20">
        <v>77.727272726999999</v>
      </c>
      <c r="G363" s="20">
        <v>6.3177850999999993E-2</v>
      </c>
      <c r="H363" s="21">
        <v>5.8419442000000002E-2</v>
      </c>
      <c r="I363" s="12">
        <f t="shared" si="23"/>
        <v>13.777272726999996</v>
      </c>
      <c r="J363" s="11">
        <f t="shared" si="22"/>
        <v>13.777272726999996</v>
      </c>
      <c r="K363" s="12">
        <f t="shared" si="21"/>
        <v>9.747272726999995</v>
      </c>
    </row>
    <row r="364" spans="6:11" x14ac:dyDescent="0.3">
      <c r="F364" s="20">
        <v>81.818181817999999</v>
      </c>
      <c r="G364" s="20">
        <v>3.7283136000000001E-2</v>
      </c>
      <c r="H364" s="21">
        <v>4.2952885000000003E-2</v>
      </c>
      <c r="I364" s="12">
        <f t="shared" si="23"/>
        <v>17.868181817999996</v>
      </c>
      <c r="J364" s="11">
        <f t="shared" si="22"/>
        <v>17.868181817999996</v>
      </c>
      <c r="K364" s="12">
        <f t="shared" si="21"/>
        <v>13.838181817999995</v>
      </c>
    </row>
    <row r="365" spans="6:11" x14ac:dyDescent="0.3">
      <c r="F365" s="20">
        <v>85.909090909</v>
      </c>
      <c r="G365" s="20">
        <v>2.1643836999999999E-2</v>
      </c>
      <c r="H365" s="21">
        <v>2.9949608999999999E-2</v>
      </c>
      <c r="I365" s="12">
        <f t="shared" si="23"/>
        <v>21.959090908999997</v>
      </c>
      <c r="J365" s="11">
        <f t="shared" si="22"/>
        <v>21.959090908999997</v>
      </c>
      <c r="K365" s="12">
        <f t="shared" si="21"/>
        <v>17.929090908999996</v>
      </c>
    </row>
    <row r="366" spans="6:11" s="29" customFormat="1" ht="15" thickBot="1" x14ac:dyDescent="0.35">
      <c r="F366" s="25">
        <v>90</v>
      </c>
      <c r="G366" s="25">
        <v>2.1949561999999999E-2</v>
      </c>
      <c r="H366" s="26">
        <v>2.1071079E-2</v>
      </c>
      <c r="I366" s="27">
        <f t="shared" si="23"/>
        <v>26.049999999999997</v>
      </c>
      <c r="J366" s="28">
        <f t="shared" si="22"/>
        <v>26.049999999999997</v>
      </c>
      <c r="K366" s="12">
        <f t="shared" si="21"/>
        <v>22.019999999999996</v>
      </c>
    </row>
  </sheetData>
  <conditionalFormatting sqref="K1:K366 K819:K1048576">
    <cfRule type="cellIs" dxfId="3" priority="2" operator="notBetween">
      <formula>0</formula>
      <formula>90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8"/>
  <sheetViews>
    <sheetView topLeftCell="A417" zoomScale="70" zoomScaleNormal="70" workbookViewId="0">
      <selection activeCell="L415" sqref="L415"/>
    </sheetView>
  </sheetViews>
  <sheetFormatPr defaultColWidth="8.6640625" defaultRowHeight="14.4" x14ac:dyDescent="0.3"/>
  <cols>
    <col min="1" max="1" width="60.33203125" bestFit="1" customWidth="1"/>
    <col min="2" max="2" width="16.109375" customWidth="1"/>
    <col min="3" max="3" width="11.21875" customWidth="1"/>
    <col min="4" max="4" width="8.33203125" customWidth="1"/>
    <col min="5" max="5" width="9.88671875" customWidth="1"/>
    <col min="6" max="6" width="12.21875" bestFit="1" customWidth="1"/>
    <col min="7" max="7" width="17.77734375" customWidth="1"/>
    <col min="8" max="8" width="10.44140625" bestFit="1" customWidth="1"/>
    <col min="9" max="9" width="20.21875" customWidth="1"/>
    <col min="10" max="10" width="19.88671875" customWidth="1"/>
    <col min="11" max="11" width="8.5546875" customWidth="1"/>
    <col min="12" max="12" width="26.88671875" bestFit="1" customWidth="1"/>
    <col min="13" max="13" width="25.77734375" bestFit="1" customWidth="1"/>
  </cols>
  <sheetData>
    <row r="1" spans="1:13" ht="18" x14ac:dyDescent="0.35">
      <c r="A1" s="2" t="s">
        <v>0</v>
      </c>
      <c r="B1" s="3" t="s">
        <v>1</v>
      </c>
      <c r="F1" s="20"/>
      <c r="G1" s="20"/>
      <c r="H1" s="21"/>
    </row>
    <row r="2" spans="1:13" x14ac:dyDescent="0.3">
      <c r="F2" s="20"/>
      <c r="G2" s="20"/>
      <c r="H2" s="21"/>
    </row>
    <row r="3" spans="1:13" x14ac:dyDescent="0.3">
      <c r="F3" s="20"/>
      <c r="G3" s="20"/>
      <c r="H3" s="21"/>
      <c r="I3">
        <f>MIN(2, 3, 0)</f>
        <v>0</v>
      </c>
      <c r="K3" t="s">
        <v>2</v>
      </c>
    </row>
    <row r="4" spans="1:13" x14ac:dyDescent="0.3">
      <c r="A4" s="4" t="s">
        <v>3</v>
      </c>
      <c r="B4" t="s">
        <v>4</v>
      </c>
      <c r="F4" s="20"/>
      <c r="G4" s="20"/>
      <c r="H4" s="21"/>
      <c r="K4" t="s">
        <v>5</v>
      </c>
    </row>
    <row r="5" spans="1:13" x14ac:dyDescent="0.3">
      <c r="F5" s="20"/>
      <c r="G5" s="20"/>
      <c r="H5" s="21"/>
      <c r="I5" t="s">
        <v>6</v>
      </c>
      <c r="J5" t="s">
        <v>6</v>
      </c>
      <c r="K5" t="s">
        <v>7</v>
      </c>
      <c r="L5" t="s">
        <v>7</v>
      </c>
      <c r="M5" t="s">
        <v>7</v>
      </c>
    </row>
    <row r="6" spans="1:13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22" t="s">
        <v>9</v>
      </c>
      <c r="G6" s="22" t="s">
        <v>13</v>
      </c>
      <c r="H6" s="22" t="s">
        <v>14</v>
      </c>
      <c r="I6" s="6" t="s">
        <v>15</v>
      </c>
      <c r="J6" s="7" t="s">
        <v>16</v>
      </c>
      <c r="K6" s="8" t="s">
        <v>17</v>
      </c>
      <c r="L6" t="s">
        <v>18</v>
      </c>
      <c r="M6" t="s">
        <v>19</v>
      </c>
    </row>
    <row r="7" spans="1:13" x14ac:dyDescent="0.3">
      <c r="A7" s="9">
        <v>20241115</v>
      </c>
      <c r="B7" s="9">
        <v>-98.01</v>
      </c>
      <c r="C7" s="9">
        <v>11.9</v>
      </c>
      <c r="D7" s="9" t="s">
        <v>24</v>
      </c>
      <c r="E7" s="9" t="s">
        <v>27</v>
      </c>
      <c r="F7" s="20">
        <v>-90</v>
      </c>
      <c r="G7" s="20">
        <v>0.104578426</v>
      </c>
      <c r="H7" s="21">
        <v>0.102718191</v>
      </c>
      <c r="K7" s="12">
        <f>MIN(ABS(F7-$B$7), ABS(F7-180-$B$7), ABS(F7+180-$B$7))</f>
        <v>8.0100000000000051</v>
      </c>
      <c r="L7" s="13" cm="1">
        <f t="array" ref="L7">SQRT(SUMPRODUCT(G7:G51,K7:K51*K7:K51))</f>
        <v>26.781188325048156</v>
      </c>
      <c r="M7" s="14" cm="1">
        <f t="array" ref="M7">SUMPRODUCT(G7:G51,ABS(K7:K51))</f>
        <v>18.192914735865788</v>
      </c>
    </row>
    <row r="8" spans="1:13" x14ac:dyDescent="0.3">
      <c r="A8" t="s">
        <v>21</v>
      </c>
      <c r="F8" s="20">
        <v>-85.909090909</v>
      </c>
      <c r="G8" s="20">
        <v>7.6676207999999996E-2</v>
      </c>
      <c r="H8" s="21">
        <v>8.1086126999999994E-2</v>
      </c>
      <c r="K8" s="12">
        <f>MIN(ABS(F8-$B$7), ABS(F8-180-$B$7), ABS(F8+180-$B$7))</f>
        <v>12.100909091000005</v>
      </c>
    </row>
    <row r="9" spans="1:13" x14ac:dyDescent="0.3">
      <c r="F9" s="20">
        <v>-81.818181817999999</v>
      </c>
      <c r="G9" s="20">
        <v>5.9736129999999998E-2</v>
      </c>
      <c r="H9" s="21">
        <v>5.9552353000000002E-2</v>
      </c>
      <c r="K9" s="12">
        <f t="shared" ref="K9:K51" si="0">MIN(ABS(F9-$B$7), ABS(F9-180-$B$7), ABS(F9+180-$B$7))</f>
        <v>16.191818182000006</v>
      </c>
      <c r="L9">
        <f>C7/L7</f>
        <v>0.44434174673534033</v>
      </c>
    </row>
    <row r="10" spans="1:13" x14ac:dyDescent="0.3">
      <c r="F10" s="20">
        <v>-77.727272726999999</v>
      </c>
      <c r="G10" s="20">
        <v>4.7297651000000003E-2</v>
      </c>
      <c r="H10" s="21">
        <v>4.2077108000000002E-2</v>
      </c>
      <c r="K10" s="12">
        <f t="shared" si="0"/>
        <v>20.282727273000006</v>
      </c>
    </row>
    <row r="11" spans="1:13" x14ac:dyDescent="0.3">
      <c r="F11" s="20">
        <v>-73.636363635999999</v>
      </c>
      <c r="G11" s="20">
        <v>3.1243066999999999E-2</v>
      </c>
      <c r="H11" s="21">
        <v>3.0095592000000001E-2</v>
      </c>
      <c r="K11" s="12">
        <f t="shared" si="0"/>
        <v>24.373636364000006</v>
      </c>
    </row>
    <row r="12" spans="1:13" x14ac:dyDescent="0.3">
      <c r="F12" s="20">
        <v>-69.545454544999998</v>
      </c>
      <c r="G12" s="20">
        <v>2.0990749E-2</v>
      </c>
      <c r="H12" s="21">
        <v>2.3032820999999998E-2</v>
      </c>
      <c r="K12" s="12">
        <f t="shared" si="0"/>
        <v>28.464545455000007</v>
      </c>
    </row>
    <row r="13" spans="1:13" x14ac:dyDescent="0.3">
      <c r="F13" s="20">
        <v>-65.454545455000002</v>
      </c>
      <c r="G13" s="20">
        <v>1.5716837000000001E-2</v>
      </c>
      <c r="H13" s="21">
        <v>1.9417904E-2</v>
      </c>
      <c r="K13" s="12">
        <f t="shared" si="0"/>
        <v>32.555454545000003</v>
      </c>
    </row>
    <row r="14" spans="1:13" x14ac:dyDescent="0.3">
      <c r="F14" s="20">
        <v>-61.363636364000001</v>
      </c>
      <c r="G14" s="20">
        <v>1.1686065000000001E-2</v>
      </c>
      <c r="H14" s="21">
        <v>1.7801546000000001E-2</v>
      </c>
      <c r="K14" s="12">
        <f t="shared" si="0"/>
        <v>36.646363636000004</v>
      </c>
    </row>
    <row r="15" spans="1:13" x14ac:dyDescent="0.3">
      <c r="F15" s="20">
        <v>-57.272727273000001</v>
      </c>
      <c r="G15" s="20">
        <v>9.7218270000000006E-3</v>
      </c>
      <c r="H15" s="21">
        <v>1.7167597999999999E-2</v>
      </c>
      <c r="K15" s="12">
        <f t="shared" si="0"/>
        <v>40.737272727000004</v>
      </c>
    </row>
    <row r="16" spans="1:13" x14ac:dyDescent="0.3">
      <c r="F16" s="20">
        <v>-53.181818182000001</v>
      </c>
      <c r="G16" s="20">
        <v>8.6048349999999999E-3</v>
      </c>
      <c r="H16" s="21">
        <v>1.6948886E-2</v>
      </c>
      <c r="K16" s="12">
        <f t="shared" si="0"/>
        <v>44.828181818000004</v>
      </c>
    </row>
    <row r="17" spans="6:11" x14ac:dyDescent="0.3">
      <c r="F17" s="20">
        <v>-49.090909091</v>
      </c>
      <c r="G17" s="20">
        <v>7.3789939999999998E-3</v>
      </c>
      <c r="H17" s="21">
        <v>1.6882378E-2</v>
      </c>
      <c r="K17" s="12">
        <f t="shared" si="0"/>
        <v>48.919090909000005</v>
      </c>
    </row>
    <row r="18" spans="6:11" x14ac:dyDescent="0.3">
      <c r="F18" s="20">
        <v>-45</v>
      </c>
      <c r="G18" s="20">
        <v>7.5131699999999996E-3</v>
      </c>
      <c r="H18" s="21">
        <v>1.6864522999999999E-2</v>
      </c>
      <c r="K18" s="12">
        <f t="shared" si="0"/>
        <v>53.010000000000005</v>
      </c>
    </row>
    <row r="19" spans="6:11" x14ac:dyDescent="0.3">
      <c r="F19" s="20">
        <v>-40.909090909</v>
      </c>
      <c r="G19" s="20">
        <v>6.6876820000000003E-3</v>
      </c>
      <c r="H19" s="21">
        <v>1.6860288000000001E-2</v>
      </c>
      <c r="K19" s="12">
        <f t="shared" si="0"/>
        <v>57.100909091000005</v>
      </c>
    </row>
    <row r="20" spans="6:11" x14ac:dyDescent="0.3">
      <c r="F20" s="20">
        <v>-36.818181817999999</v>
      </c>
      <c r="G20" s="20">
        <v>6.1688020000000001E-3</v>
      </c>
      <c r="H20" s="21">
        <v>1.6859398000000001E-2</v>
      </c>
      <c r="K20" s="12">
        <f t="shared" si="0"/>
        <v>61.191818182000006</v>
      </c>
    </row>
    <row r="21" spans="6:11" x14ac:dyDescent="0.3">
      <c r="F21" s="20">
        <v>-32.727272726999999</v>
      </c>
      <c r="G21" s="20">
        <v>5.0066440000000002E-3</v>
      </c>
      <c r="H21" s="21">
        <v>1.6859233000000001E-2</v>
      </c>
      <c r="K21" s="12">
        <f t="shared" si="0"/>
        <v>65.282727273000006</v>
      </c>
    </row>
    <row r="22" spans="6:11" x14ac:dyDescent="0.3">
      <c r="F22" s="20">
        <v>-28.636363635999999</v>
      </c>
      <c r="G22" s="20">
        <v>4.6104570000000001E-3</v>
      </c>
      <c r="H22" s="21">
        <v>1.6859206000000002E-2</v>
      </c>
      <c r="K22" s="12">
        <f t="shared" si="0"/>
        <v>69.373636364000006</v>
      </c>
    </row>
    <row r="23" spans="6:11" x14ac:dyDescent="0.3">
      <c r="F23" s="20">
        <v>-24.545454544999998</v>
      </c>
      <c r="G23" s="20">
        <v>4.5266990000000003E-3</v>
      </c>
      <c r="H23" s="21">
        <v>1.6859202E-2</v>
      </c>
      <c r="K23" s="12">
        <f t="shared" si="0"/>
        <v>73.464545455000007</v>
      </c>
    </row>
    <row r="24" spans="6:11" x14ac:dyDescent="0.3">
      <c r="F24" s="20">
        <v>-20.454545455000002</v>
      </c>
      <c r="G24" s="20">
        <v>4.5543700000000003E-3</v>
      </c>
      <c r="H24" s="21">
        <v>1.6859202E-2</v>
      </c>
      <c r="K24" s="12">
        <f t="shared" si="0"/>
        <v>77.555454545000003</v>
      </c>
    </row>
    <row r="25" spans="6:11" x14ac:dyDescent="0.3">
      <c r="F25" s="20">
        <v>-16.363636364000001</v>
      </c>
      <c r="G25" s="20">
        <v>4.1031289999999996E-3</v>
      </c>
      <c r="H25" s="21">
        <v>1.6859202E-2</v>
      </c>
      <c r="K25" s="12">
        <f t="shared" si="0"/>
        <v>81.646363636000004</v>
      </c>
    </row>
    <row r="26" spans="6:11" x14ac:dyDescent="0.3">
      <c r="F26" s="20">
        <v>-12.272727272999999</v>
      </c>
      <c r="G26" s="20">
        <v>4.0169799999999999E-3</v>
      </c>
      <c r="H26" s="21">
        <v>1.6859202E-2</v>
      </c>
      <c r="K26" s="12">
        <f t="shared" si="0"/>
        <v>85.737272727000004</v>
      </c>
    </row>
    <row r="27" spans="6:11" x14ac:dyDescent="0.3">
      <c r="F27" s="20">
        <v>-8.1818181820000007</v>
      </c>
      <c r="G27" s="20">
        <v>3.973018E-3</v>
      </c>
      <c r="H27" s="21">
        <v>1.6859202E-2</v>
      </c>
      <c r="K27" s="12">
        <f t="shared" si="0"/>
        <v>89.828181818000004</v>
      </c>
    </row>
    <row r="28" spans="6:11" x14ac:dyDescent="0.3">
      <c r="F28" s="20">
        <v>-4.0909090910000003</v>
      </c>
      <c r="G28" s="20">
        <v>3.6915720000000002E-3</v>
      </c>
      <c r="H28" s="21">
        <v>1.6859202E-2</v>
      </c>
      <c r="K28" s="12">
        <f t="shared" si="0"/>
        <v>86.080909091000009</v>
      </c>
    </row>
    <row r="29" spans="6:11" x14ac:dyDescent="0.3">
      <c r="F29" s="20">
        <v>0</v>
      </c>
      <c r="G29" s="20">
        <v>4.8465629999999999E-3</v>
      </c>
      <c r="H29" s="21">
        <v>1.6859202E-2</v>
      </c>
      <c r="K29" s="12">
        <f t="shared" si="0"/>
        <v>81.99</v>
      </c>
    </row>
    <row r="30" spans="6:11" x14ac:dyDescent="0.3">
      <c r="F30" s="20">
        <v>4.0909090910000003</v>
      </c>
      <c r="G30" s="20">
        <v>3.6434660000000002E-3</v>
      </c>
      <c r="H30" s="21">
        <v>1.6859202E-2</v>
      </c>
      <c r="K30" s="12">
        <f t="shared" si="0"/>
        <v>77.89909090899998</v>
      </c>
    </row>
    <row r="31" spans="6:11" x14ac:dyDescent="0.3">
      <c r="F31" s="20">
        <v>8.1818181820000007</v>
      </c>
      <c r="G31" s="20">
        <v>5.3832050000000003E-3</v>
      </c>
      <c r="H31" s="21">
        <v>1.6859202E-2</v>
      </c>
      <c r="K31" s="12">
        <f t="shared" si="0"/>
        <v>73.808181817999994</v>
      </c>
    </row>
    <row r="32" spans="6:11" x14ac:dyDescent="0.3">
      <c r="F32" s="20">
        <v>12.272727272999999</v>
      </c>
      <c r="G32" s="20">
        <v>4.0408240000000002E-3</v>
      </c>
      <c r="H32" s="21">
        <v>1.6859202E-2</v>
      </c>
      <c r="K32" s="12">
        <f t="shared" si="0"/>
        <v>69.717272727000008</v>
      </c>
    </row>
    <row r="33" spans="6:11" x14ac:dyDescent="0.3">
      <c r="F33" s="20">
        <v>16.363636364000001</v>
      </c>
      <c r="G33" s="20">
        <v>4.8286040000000002E-3</v>
      </c>
      <c r="H33" s="21">
        <v>1.6859202E-2</v>
      </c>
      <c r="K33" s="12">
        <f t="shared" si="0"/>
        <v>65.626363635999994</v>
      </c>
    </row>
    <row r="34" spans="6:11" x14ac:dyDescent="0.3">
      <c r="F34" s="20">
        <v>20.454545455000002</v>
      </c>
      <c r="G34" s="20">
        <v>4.1483580000000004E-3</v>
      </c>
      <c r="H34" s="21">
        <v>1.6859202E-2</v>
      </c>
      <c r="K34" s="12">
        <f t="shared" si="0"/>
        <v>61.535454544999979</v>
      </c>
    </row>
    <row r="35" spans="6:11" x14ac:dyDescent="0.3">
      <c r="F35" s="20">
        <v>24.545454544999998</v>
      </c>
      <c r="G35" s="20">
        <v>4.2522740000000003E-3</v>
      </c>
      <c r="H35" s="21">
        <v>1.6859202E-2</v>
      </c>
      <c r="K35" s="12">
        <f t="shared" si="0"/>
        <v>57.444545455000011</v>
      </c>
    </row>
    <row r="36" spans="6:11" x14ac:dyDescent="0.3">
      <c r="F36" s="20">
        <v>28.636363635999999</v>
      </c>
      <c r="G36" s="20">
        <v>4.1348879999999998E-3</v>
      </c>
      <c r="H36" s="21">
        <v>1.6859202E-2</v>
      </c>
      <c r="K36" s="12">
        <f t="shared" si="0"/>
        <v>53.353636363999996</v>
      </c>
    </row>
    <row r="37" spans="6:11" x14ac:dyDescent="0.3">
      <c r="F37" s="20">
        <v>32.727272726999999</v>
      </c>
      <c r="G37" s="20">
        <v>4.5677399999999998E-3</v>
      </c>
      <c r="H37" s="21">
        <v>1.6859202E-2</v>
      </c>
      <c r="K37" s="12">
        <f t="shared" si="0"/>
        <v>49.262727272999982</v>
      </c>
    </row>
    <row r="38" spans="6:11" x14ac:dyDescent="0.3">
      <c r="F38" s="20">
        <v>36.818181817999999</v>
      </c>
      <c r="G38" s="20">
        <v>6.0012449999999997E-3</v>
      </c>
      <c r="H38" s="21">
        <v>1.6859202E-2</v>
      </c>
      <c r="K38" s="12">
        <f t="shared" si="0"/>
        <v>45.171818181999996</v>
      </c>
    </row>
    <row r="39" spans="6:11" x14ac:dyDescent="0.3">
      <c r="F39" s="20">
        <v>40.909090909</v>
      </c>
      <c r="G39" s="20">
        <v>6.7929219999999998E-3</v>
      </c>
      <c r="H39" s="21">
        <v>1.6859202E-2</v>
      </c>
      <c r="K39" s="12">
        <f t="shared" si="0"/>
        <v>41.080909091000009</v>
      </c>
    </row>
    <row r="40" spans="6:11" x14ac:dyDescent="0.3">
      <c r="F40" s="20">
        <v>45</v>
      </c>
      <c r="G40" s="20">
        <v>8.1423380000000007E-3</v>
      </c>
      <c r="H40" s="21">
        <v>1.6859202E-2</v>
      </c>
      <c r="K40" s="12">
        <f t="shared" si="0"/>
        <v>36.989999999999995</v>
      </c>
    </row>
    <row r="41" spans="6:11" x14ac:dyDescent="0.3">
      <c r="F41" s="20">
        <v>49.090909091</v>
      </c>
      <c r="G41" s="20">
        <v>9.5696730000000008E-3</v>
      </c>
      <c r="H41" s="21">
        <v>1.6859202E-2</v>
      </c>
      <c r="K41" s="12">
        <f t="shared" si="0"/>
        <v>32.89909090899998</v>
      </c>
    </row>
    <row r="42" spans="6:11" x14ac:dyDescent="0.3">
      <c r="F42" s="20">
        <v>53.181818182000001</v>
      </c>
      <c r="G42" s="20">
        <v>1.0959923999999999E-2</v>
      </c>
      <c r="H42" s="21">
        <v>1.6859202E-2</v>
      </c>
      <c r="K42" s="12">
        <f t="shared" si="0"/>
        <v>28.808181817999994</v>
      </c>
    </row>
    <row r="43" spans="6:11" x14ac:dyDescent="0.3">
      <c r="F43" s="20">
        <v>57.272727273000001</v>
      </c>
      <c r="G43" s="20">
        <v>1.294318E-2</v>
      </c>
      <c r="H43" s="21">
        <v>1.6859202E-2</v>
      </c>
      <c r="K43" s="12">
        <f t="shared" si="0"/>
        <v>24.717272726999994</v>
      </c>
    </row>
    <row r="44" spans="6:11" x14ac:dyDescent="0.3">
      <c r="F44" s="20">
        <v>61.363636364000001</v>
      </c>
      <c r="G44" s="20">
        <v>1.5428663E-2</v>
      </c>
      <c r="H44" s="21">
        <v>1.6859202E-2</v>
      </c>
      <c r="K44" s="12">
        <f t="shared" si="0"/>
        <v>20.626363635999994</v>
      </c>
    </row>
    <row r="45" spans="6:11" x14ac:dyDescent="0.3">
      <c r="F45" s="20">
        <v>65.454545455000002</v>
      </c>
      <c r="G45" s="20">
        <v>2.0263788000000001E-2</v>
      </c>
      <c r="H45" s="21">
        <v>1.6859202E-2</v>
      </c>
      <c r="K45" s="12">
        <f t="shared" si="0"/>
        <v>16.535454544999993</v>
      </c>
    </row>
    <row r="46" spans="6:11" x14ac:dyDescent="0.3">
      <c r="F46" s="20">
        <v>69.545454544999998</v>
      </c>
      <c r="G46" s="20">
        <v>2.8396312999999999E-2</v>
      </c>
      <c r="H46" s="21">
        <v>1.6859202E-2</v>
      </c>
      <c r="K46" s="12">
        <f t="shared" si="0"/>
        <v>12.444545454999997</v>
      </c>
    </row>
    <row r="47" spans="6:11" x14ac:dyDescent="0.3">
      <c r="F47" s="20">
        <v>73.636363635999999</v>
      </c>
      <c r="G47" s="20">
        <v>3.5455077000000002E-2</v>
      </c>
      <c r="H47" s="21">
        <v>1.6859202E-2</v>
      </c>
      <c r="K47" s="12">
        <f t="shared" si="0"/>
        <v>8.3536363639999962</v>
      </c>
    </row>
    <row r="48" spans="6:11" x14ac:dyDescent="0.3">
      <c r="F48" s="20">
        <v>77.727272726999999</v>
      </c>
      <c r="G48" s="20">
        <v>5.3931944000000002E-2</v>
      </c>
      <c r="H48" s="21">
        <v>1.6859202E-2</v>
      </c>
      <c r="K48" s="12">
        <f t="shared" si="0"/>
        <v>4.2627272729999959</v>
      </c>
    </row>
    <row r="49" spans="1:13" x14ac:dyDescent="0.3">
      <c r="F49" s="20">
        <v>81.818181817999999</v>
      </c>
      <c r="G49" s="20">
        <v>9.6139504000000001E-2</v>
      </c>
      <c r="H49" s="21">
        <v>1.6859202E-2</v>
      </c>
      <c r="K49" s="12">
        <f t="shared" si="0"/>
        <v>0.17181818199999555</v>
      </c>
    </row>
    <row r="50" spans="1:13" x14ac:dyDescent="0.3">
      <c r="F50" s="20">
        <v>85.909090909</v>
      </c>
      <c r="G50" s="20">
        <v>0.10306777</v>
      </c>
      <c r="H50" s="21">
        <v>1.6859202E-2</v>
      </c>
      <c r="K50" s="12">
        <f t="shared" si="0"/>
        <v>3.9190909090000048</v>
      </c>
    </row>
    <row r="51" spans="1:13" s="15" customFormat="1" x14ac:dyDescent="0.3">
      <c r="F51" s="23">
        <v>90</v>
      </c>
      <c r="G51" s="23">
        <v>0.104578426</v>
      </c>
      <c r="H51" s="24">
        <v>1.6859202E-2</v>
      </c>
      <c r="K51" s="12">
        <f t="shared" si="0"/>
        <v>8.0100000000000051</v>
      </c>
    </row>
    <row r="52" spans="1:13" x14ac:dyDescent="0.3">
      <c r="A52" s="9">
        <v>20241115</v>
      </c>
      <c r="B52" s="9">
        <v>86.12</v>
      </c>
      <c r="C52" s="9">
        <v>6.24</v>
      </c>
      <c r="D52" s="9">
        <v>0.4</v>
      </c>
      <c r="E52" s="9">
        <v>0.56999999999999995</v>
      </c>
      <c r="F52" s="20">
        <v>-90</v>
      </c>
      <c r="G52" s="20">
        <v>0.103087187</v>
      </c>
      <c r="H52" s="21">
        <v>1.4158587E-2</v>
      </c>
      <c r="K52" s="12">
        <f>MIN(ABS(F52-$B$52), ABS(F52-180-$B$52), ABS(F52+180-$B$52))</f>
        <v>3.8799999999999955</v>
      </c>
      <c r="L52" s="13" cm="1">
        <f t="array" ref="L52">SQRT(SUMPRODUCT(G52:G96,K52:K96*K52:K96))</f>
        <v>23.477624898702004</v>
      </c>
      <c r="M52" s="14" cm="1">
        <f t="array" ref="M52">SUMPRODUCT(G52:G96,ABS(K52:K96))</f>
        <v>14.829902157397468</v>
      </c>
    </row>
    <row r="53" spans="1:13" x14ac:dyDescent="0.3">
      <c r="F53" s="20">
        <v>-85.909090909</v>
      </c>
      <c r="G53" s="20">
        <v>7.1467638E-2</v>
      </c>
      <c r="H53" s="21">
        <v>1.4158587E-2</v>
      </c>
      <c r="K53" s="12">
        <f t="shared" ref="K53:K96" si="1">MIN(ABS(F53-$B$52), ABS(F53-180-$B$52), ABS(F53+180-$B$52))</f>
        <v>7.9709090909999958</v>
      </c>
    </row>
    <row r="54" spans="1:13" x14ac:dyDescent="0.3">
      <c r="F54" s="20">
        <v>-81.818181817999999</v>
      </c>
      <c r="G54" s="20">
        <v>6.1845587E-2</v>
      </c>
      <c r="H54" s="21">
        <v>1.4158587E-2</v>
      </c>
      <c r="K54" s="12">
        <f t="shared" si="1"/>
        <v>12.061818181999996</v>
      </c>
    </row>
    <row r="55" spans="1:13" x14ac:dyDescent="0.3">
      <c r="F55" s="20">
        <v>-77.727272726999999</v>
      </c>
      <c r="G55" s="20">
        <v>5.1043138000000002E-2</v>
      </c>
      <c r="H55" s="21">
        <v>1.4158587E-2</v>
      </c>
      <c r="K55" s="12">
        <f t="shared" si="1"/>
        <v>16.152727272999996</v>
      </c>
      <c r="L55">
        <f>C52/L52</f>
        <v>0.26578497726765316</v>
      </c>
    </row>
    <row r="56" spans="1:13" x14ac:dyDescent="0.3">
      <c r="F56" s="20">
        <v>-73.636363635999999</v>
      </c>
      <c r="G56" s="20">
        <v>4.6034195E-2</v>
      </c>
      <c r="H56" s="21">
        <v>1.4158587E-2</v>
      </c>
      <c r="K56" s="12">
        <f t="shared" si="1"/>
        <v>20.243636363999997</v>
      </c>
    </row>
    <row r="57" spans="1:13" x14ac:dyDescent="0.3">
      <c r="F57" s="20">
        <v>-69.545454544999998</v>
      </c>
      <c r="G57" s="20">
        <v>2.3841477999999999E-2</v>
      </c>
      <c r="H57" s="21">
        <v>1.4158587E-2</v>
      </c>
      <c r="K57" s="12">
        <f t="shared" si="1"/>
        <v>24.334545454999997</v>
      </c>
    </row>
    <row r="58" spans="1:13" x14ac:dyDescent="0.3">
      <c r="F58" s="20">
        <v>-65.454545455000002</v>
      </c>
      <c r="G58" s="20">
        <v>1.4564324E-2</v>
      </c>
      <c r="H58" s="21">
        <v>1.4158587E-2</v>
      </c>
      <c r="K58" s="12">
        <f t="shared" si="1"/>
        <v>28.425454544999994</v>
      </c>
    </row>
    <row r="59" spans="1:13" x14ac:dyDescent="0.3">
      <c r="F59" s="20">
        <v>-61.363636364000001</v>
      </c>
      <c r="G59" s="20">
        <v>1.0409082E-2</v>
      </c>
      <c r="H59" s="21">
        <v>1.4158587E-2</v>
      </c>
      <c r="K59" s="12">
        <f t="shared" si="1"/>
        <v>32.516363635999994</v>
      </c>
    </row>
    <row r="60" spans="1:13" x14ac:dyDescent="0.3">
      <c r="F60" s="20">
        <v>-57.272727273000001</v>
      </c>
      <c r="G60" s="20">
        <v>7.9272309999999999E-3</v>
      </c>
      <c r="H60" s="21">
        <v>1.4158587E-2</v>
      </c>
      <c r="K60" s="12">
        <f t="shared" si="1"/>
        <v>36.607272726999994</v>
      </c>
    </row>
    <row r="61" spans="1:13" x14ac:dyDescent="0.3">
      <c r="F61" s="20">
        <v>-53.181818182000001</v>
      </c>
      <c r="G61" s="20">
        <v>7.4108910000000002E-3</v>
      </c>
      <c r="H61" s="21">
        <v>1.4158587E-2</v>
      </c>
      <c r="K61" s="12">
        <f t="shared" si="1"/>
        <v>40.698181817999995</v>
      </c>
    </row>
    <row r="62" spans="1:13" x14ac:dyDescent="0.3">
      <c r="F62" s="20">
        <v>-49.090909091</v>
      </c>
      <c r="G62" s="20">
        <v>5.8252759999999999E-3</v>
      </c>
      <c r="H62" s="21">
        <v>1.4158587E-2</v>
      </c>
      <c r="K62" s="12">
        <f t="shared" si="1"/>
        <v>44.789090908999981</v>
      </c>
    </row>
    <row r="63" spans="1:13" x14ac:dyDescent="0.3">
      <c r="F63" s="20">
        <v>-45</v>
      </c>
      <c r="G63" s="20">
        <v>5.2806800000000003E-3</v>
      </c>
      <c r="H63" s="21">
        <v>1.4158587E-2</v>
      </c>
      <c r="K63" s="12">
        <f t="shared" si="1"/>
        <v>48.879999999999995</v>
      </c>
    </row>
    <row r="64" spans="1:13" x14ac:dyDescent="0.3">
      <c r="F64" s="20">
        <v>-40.909090909</v>
      </c>
      <c r="G64" s="20">
        <v>4.6680970000000004E-3</v>
      </c>
      <c r="H64" s="21">
        <v>1.4158587E-2</v>
      </c>
      <c r="K64" s="12">
        <f t="shared" si="1"/>
        <v>52.97090909100001</v>
      </c>
    </row>
    <row r="65" spans="6:11" x14ac:dyDescent="0.3">
      <c r="F65" s="20">
        <v>-36.818181817999999</v>
      </c>
      <c r="G65" s="20">
        <v>4.0222679999999999E-3</v>
      </c>
      <c r="H65" s="21">
        <v>1.4158587E-2</v>
      </c>
      <c r="K65" s="12">
        <f t="shared" si="1"/>
        <v>57.061818181999996</v>
      </c>
    </row>
    <row r="66" spans="6:11" x14ac:dyDescent="0.3">
      <c r="F66" s="20">
        <v>-32.727272726999999</v>
      </c>
      <c r="G66" s="20">
        <v>3.3704749999999999E-3</v>
      </c>
      <c r="H66" s="21">
        <v>1.4158587E-2</v>
      </c>
      <c r="K66" s="12">
        <f t="shared" si="1"/>
        <v>61.152727272999982</v>
      </c>
    </row>
    <row r="67" spans="6:11" x14ac:dyDescent="0.3">
      <c r="F67" s="20">
        <v>-28.636363635999999</v>
      </c>
      <c r="G67" s="20">
        <v>3.436751E-3</v>
      </c>
      <c r="H67" s="21">
        <v>1.4158587E-2</v>
      </c>
      <c r="K67" s="12">
        <f t="shared" si="1"/>
        <v>65.243636363999997</v>
      </c>
    </row>
    <row r="68" spans="6:11" x14ac:dyDescent="0.3">
      <c r="F68" s="20">
        <v>-24.545454544999998</v>
      </c>
      <c r="G68" s="20">
        <v>3.592273E-3</v>
      </c>
      <c r="H68" s="21">
        <v>1.4158587E-2</v>
      </c>
      <c r="K68" s="12">
        <f t="shared" si="1"/>
        <v>69.334545455000011</v>
      </c>
    </row>
    <row r="69" spans="6:11" x14ac:dyDescent="0.3">
      <c r="F69" s="20">
        <v>-20.454545455000002</v>
      </c>
      <c r="G69" s="20">
        <v>3.2801319999999998E-3</v>
      </c>
      <c r="H69" s="21">
        <v>1.4158587E-2</v>
      </c>
      <c r="K69" s="12">
        <f t="shared" si="1"/>
        <v>73.42545454499998</v>
      </c>
    </row>
    <row r="70" spans="6:11" x14ac:dyDescent="0.3">
      <c r="F70" s="20">
        <v>-16.363636364000001</v>
      </c>
      <c r="G70" s="20">
        <v>3.2796959999999999E-3</v>
      </c>
      <c r="H70" s="21">
        <v>1.4158587E-2</v>
      </c>
      <c r="K70" s="12">
        <f t="shared" si="1"/>
        <v>77.516363635999994</v>
      </c>
    </row>
    <row r="71" spans="6:11" x14ac:dyDescent="0.3">
      <c r="F71" s="20">
        <v>-12.272727272999999</v>
      </c>
      <c r="G71" s="20">
        <v>3.1635980000000001E-3</v>
      </c>
      <c r="H71" s="21">
        <v>1.4158587E-2</v>
      </c>
      <c r="K71" s="12">
        <f t="shared" si="1"/>
        <v>81.607272727000009</v>
      </c>
    </row>
    <row r="72" spans="6:11" x14ac:dyDescent="0.3">
      <c r="F72" s="20">
        <v>-8.1818181820000007</v>
      </c>
      <c r="G72" s="20">
        <v>3.1039319999999998E-3</v>
      </c>
      <c r="H72" s="21">
        <v>1.4158587E-2</v>
      </c>
      <c r="K72" s="12">
        <f t="shared" si="1"/>
        <v>85.698181817999995</v>
      </c>
    </row>
    <row r="73" spans="6:11" x14ac:dyDescent="0.3">
      <c r="F73" s="20">
        <v>-4.0909090910000003</v>
      </c>
      <c r="G73" s="20">
        <v>2.718233E-3</v>
      </c>
      <c r="H73" s="21">
        <v>1.4158587E-2</v>
      </c>
      <c r="K73" s="12">
        <f t="shared" si="1"/>
        <v>89.789090908999981</v>
      </c>
    </row>
    <row r="74" spans="6:11" x14ac:dyDescent="0.3">
      <c r="F74" s="20">
        <v>0</v>
      </c>
      <c r="G74" s="20">
        <v>3.540489E-3</v>
      </c>
      <c r="H74" s="21">
        <v>1.4158587E-2</v>
      </c>
      <c r="K74" s="12">
        <f t="shared" si="1"/>
        <v>86.12</v>
      </c>
    </row>
    <row r="75" spans="6:11" x14ac:dyDescent="0.3">
      <c r="F75" s="20">
        <v>4.0909090910000003</v>
      </c>
      <c r="G75" s="20">
        <v>3.2086160000000001E-3</v>
      </c>
      <c r="H75" s="21">
        <v>1.4158587E-2</v>
      </c>
      <c r="K75" s="12">
        <f t="shared" si="1"/>
        <v>82.029090909000004</v>
      </c>
    </row>
    <row r="76" spans="6:11" x14ac:dyDescent="0.3">
      <c r="F76" s="20">
        <v>8.1818181820000007</v>
      </c>
      <c r="G76" s="20">
        <v>3.4821349999999999E-3</v>
      </c>
      <c r="H76" s="21">
        <v>1.4158587E-2</v>
      </c>
      <c r="K76" s="12">
        <f t="shared" si="1"/>
        <v>77.938181818000004</v>
      </c>
    </row>
    <row r="77" spans="6:11" x14ac:dyDescent="0.3">
      <c r="F77" s="20">
        <v>12.272727272999999</v>
      </c>
      <c r="G77" s="20">
        <v>3.7941030000000001E-3</v>
      </c>
      <c r="H77" s="21">
        <v>1.4158587E-2</v>
      </c>
      <c r="K77" s="12">
        <f t="shared" si="1"/>
        <v>73.847272727000004</v>
      </c>
    </row>
    <row r="78" spans="6:11" x14ac:dyDescent="0.3">
      <c r="F78" s="20">
        <v>16.363636364000001</v>
      </c>
      <c r="G78" s="20">
        <v>3.37478E-3</v>
      </c>
      <c r="H78" s="21">
        <v>1.4158587E-2</v>
      </c>
      <c r="K78" s="12">
        <f t="shared" si="1"/>
        <v>69.756363636000003</v>
      </c>
    </row>
    <row r="79" spans="6:11" x14ac:dyDescent="0.3">
      <c r="F79" s="20">
        <v>20.454545455000002</v>
      </c>
      <c r="G79" s="20">
        <v>3.252263E-3</v>
      </c>
      <c r="H79" s="21">
        <v>1.4158587E-2</v>
      </c>
      <c r="K79" s="12">
        <f t="shared" si="1"/>
        <v>65.665454545000003</v>
      </c>
    </row>
    <row r="80" spans="6:11" x14ac:dyDescent="0.3">
      <c r="F80" s="20">
        <v>24.545454544999998</v>
      </c>
      <c r="G80" s="20">
        <v>3.4194690000000001E-3</v>
      </c>
      <c r="H80" s="21">
        <v>1.4158587E-2</v>
      </c>
      <c r="K80" s="12">
        <f t="shared" si="1"/>
        <v>61.574545455000006</v>
      </c>
    </row>
    <row r="81" spans="6:11" x14ac:dyDescent="0.3">
      <c r="F81" s="20">
        <v>28.636363635999999</v>
      </c>
      <c r="G81" s="20">
        <v>3.257519E-3</v>
      </c>
      <c r="H81" s="21">
        <v>1.4158587E-2</v>
      </c>
      <c r="K81" s="12">
        <f t="shared" si="1"/>
        <v>57.483636364000006</v>
      </c>
    </row>
    <row r="82" spans="6:11" x14ac:dyDescent="0.3">
      <c r="F82" s="20">
        <v>32.727272726999999</v>
      </c>
      <c r="G82" s="20">
        <v>3.4167640000000001E-3</v>
      </c>
      <c r="H82" s="21">
        <v>1.4158587E-2</v>
      </c>
      <c r="K82" s="12">
        <f t="shared" si="1"/>
        <v>53.392727273000006</v>
      </c>
    </row>
    <row r="83" spans="6:11" x14ac:dyDescent="0.3">
      <c r="F83" s="20">
        <v>36.818181817999999</v>
      </c>
      <c r="G83" s="20">
        <v>4.5721299999999998E-3</v>
      </c>
      <c r="H83" s="21">
        <v>1.4158587E-2</v>
      </c>
      <c r="K83" s="12">
        <f t="shared" si="1"/>
        <v>49.301818182000005</v>
      </c>
    </row>
    <row r="84" spans="6:11" x14ac:dyDescent="0.3">
      <c r="F84" s="20">
        <v>40.909090909</v>
      </c>
      <c r="G84" s="20">
        <v>4.8167310000000003E-3</v>
      </c>
      <c r="H84" s="21">
        <v>1.4158587E-2</v>
      </c>
      <c r="K84" s="12">
        <f t="shared" si="1"/>
        <v>45.210909091000005</v>
      </c>
    </row>
    <row r="85" spans="6:11" x14ac:dyDescent="0.3">
      <c r="F85" s="20">
        <v>45</v>
      </c>
      <c r="G85" s="20">
        <v>5.953028E-3</v>
      </c>
      <c r="H85" s="21">
        <v>1.4158587E-2</v>
      </c>
      <c r="K85" s="12">
        <f t="shared" si="1"/>
        <v>41.120000000000005</v>
      </c>
    </row>
    <row r="86" spans="6:11" x14ac:dyDescent="0.3">
      <c r="F86" s="20">
        <v>49.090909091</v>
      </c>
      <c r="G86" s="20">
        <v>6.6813699999999998E-3</v>
      </c>
      <c r="H86" s="21">
        <v>1.4158588999999999E-2</v>
      </c>
      <c r="K86" s="12">
        <f t="shared" si="1"/>
        <v>37.029090909000004</v>
      </c>
    </row>
    <row r="87" spans="6:11" x14ac:dyDescent="0.3">
      <c r="F87" s="20">
        <v>53.181818182000001</v>
      </c>
      <c r="G87" s="20">
        <v>8.4222240000000007E-3</v>
      </c>
      <c r="H87" s="21">
        <v>1.4158687E-2</v>
      </c>
      <c r="K87" s="12">
        <f t="shared" si="1"/>
        <v>32.938181818000004</v>
      </c>
    </row>
    <row r="88" spans="6:11" x14ac:dyDescent="0.3">
      <c r="F88" s="20">
        <v>57.272727273000001</v>
      </c>
      <c r="G88" s="20">
        <v>1.0781272999999999E-2</v>
      </c>
      <c r="H88" s="21">
        <v>1.4161171E-2</v>
      </c>
      <c r="K88" s="12">
        <f t="shared" si="1"/>
        <v>28.847272727000004</v>
      </c>
    </row>
    <row r="89" spans="6:11" x14ac:dyDescent="0.3">
      <c r="F89" s="20">
        <v>61.363636364000001</v>
      </c>
      <c r="G89" s="20">
        <v>1.2232174E-2</v>
      </c>
      <c r="H89" s="21">
        <v>1.4201877E-2</v>
      </c>
      <c r="K89" s="12">
        <f t="shared" si="1"/>
        <v>24.756363636000003</v>
      </c>
    </row>
    <row r="90" spans="6:11" x14ac:dyDescent="0.3">
      <c r="F90" s="20">
        <v>65.454545455000002</v>
      </c>
      <c r="G90" s="20">
        <v>1.5802009999999998E-2</v>
      </c>
      <c r="H90" s="21">
        <v>1.4630136E-2</v>
      </c>
      <c r="K90" s="12">
        <f t="shared" si="1"/>
        <v>20.665454545000003</v>
      </c>
    </row>
    <row r="91" spans="6:11" x14ac:dyDescent="0.3">
      <c r="F91" s="20">
        <v>69.545454544999998</v>
      </c>
      <c r="G91" s="20">
        <v>2.4296998E-2</v>
      </c>
      <c r="H91" s="21">
        <v>1.7499007E-2</v>
      </c>
      <c r="K91" s="12">
        <f t="shared" si="1"/>
        <v>16.574545455000006</v>
      </c>
    </row>
    <row r="92" spans="6:11" x14ac:dyDescent="0.3">
      <c r="F92" s="20">
        <v>73.636363635999999</v>
      </c>
      <c r="G92" s="20">
        <v>3.5556724999999997E-2</v>
      </c>
      <c r="H92" s="21">
        <v>2.9547823000000001E-2</v>
      </c>
      <c r="K92" s="12">
        <f t="shared" si="1"/>
        <v>12.483636364000006</v>
      </c>
    </row>
    <row r="93" spans="6:11" x14ac:dyDescent="0.3">
      <c r="F93" s="20">
        <v>77.727272726999999</v>
      </c>
      <c r="G93" s="20">
        <v>6.1162835999999998E-2</v>
      </c>
      <c r="H93" s="21">
        <v>6.0266464999999998E-2</v>
      </c>
      <c r="K93" s="12">
        <f t="shared" si="1"/>
        <v>8.3927272730000055</v>
      </c>
    </row>
    <row r="94" spans="6:11" x14ac:dyDescent="0.3">
      <c r="F94" s="20">
        <v>81.818181817999999</v>
      </c>
      <c r="G94" s="20">
        <v>9.3847145000000007E-2</v>
      </c>
      <c r="H94" s="21">
        <v>0.10399973799999999</v>
      </c>
      <c r="K94" s="12">
        <f t="shared" si="1"/>
        <v>4.3018181820000052</v>
      </c>
    </row>
    <row r="95" spans="6:11" x14ac:dyDescent="0.3">
      <c r="F95" s="20">
        <v>85.909090909</v>
      </c>
      <c r="G95" s="20">
        <v>0.138669871</v>
      </c>
      <c r="H95" s="21">
        <v>0.128004544</v>
      </c>
      <c r="K95" s="12">
        <f t="shared" si="1"/>
        <v>0.21090909100000488</v>
      </c>
    </row>
    <row r="96" spans="6:11" s="15" customFormat="1" x14ac:dyDescent="0.3">
      <c r="F96" s="23">
        <v>90</v>
      </c>
      <c r="G96" s="23">
        <v>0.103087187</v>
      </c>
      <c r="H96" s="24">
        <v>0.107980014</v>
      </c>
      <c r="K96" s="12">
        <f t="shared" si="1"/>
        <v>3.8799999999999955</v>
      </c>
    </row>
    <row r="97" spans="1:13" x14ac:dyDescent="0.3">
      <c r="A97" s="9">
        <v>20241115</v>
      </c>
      <c r="B97" s="9">
        <v>86.43</v>
      </c>
      <c r="C97" s="9">
        <v>7.08</v>
      </c>
      <c r="D97" s="9">
        <v>0.43</v>
      </c>
      <c r="E97" s="9">
        <v>0.44</v>
      </c>
      <c r="F97" s="20">
        <v>-90</v>
      </c>
      <c r="G97" s="20">
        <v>0.11743764900000001</v>
      </c>
      <c r="H97" s="21">
        <v>1.4041545000000001E-2</v>
      </c>
      <c r="K97" s="12">
        <f>MIN(ABS(F97-$B$97), ABS(F97-180-$B$97), ABS(F97+180-$B$97))</f>
        <v>3.5699999999999932</v>
      </c>
      <c r="L97" s="13" cm="1">
        <f t="array" ref="L97">SQRT(SUMPRODUCT(G97:G141,K97:K141*K97:K141))</f>
        <v>21.587889728799972</v>
      </c>
      <c r="M97" s="14" cm="1">
        <f t="array" ref="M97">SUMPRODUCT(G97:G141,ABS(K97:K141))</f>
        <v>13.371725420313515</v>
      </c>
    </row>
    <row r="98" spans="1:13" x14ac:dyDescent="0.3">
      <c r="F98" s="20">
        <v>-85.909090909</v>
      </c>
      <c r="G98" s="20">
        <v>0.10816603399999999</v>
      </c>
      <c r="H98" s="21">
        <v>1.4041545000000001E-2</v>
      </c>
      <c r="K98" s="12">
        <f t="shared" ref="K98:K141" si="2">MIN(ABS(F98-$B$97), ABS(F98-180-$B$97), ABS(F98+180-$B$97))</f>
        <v>7.6609090909999935</v>
      </c>
    </row>
    <row r="99" spans="1:13" x14ac:dyDescent="0.3">
      <c r="F99" s="20">
        <v>-81.818181817999999</v>
      </c>
      <c r="G99" s="20">
        <v>7.0670553999999997E-2</v>
      </c>
      <c r="H99" s="21">
        <v>1.4041545000000001E-2</v>
      </c>
      <c r="K99" s="12">
        <f t="shared" si="2"/>
        <v>11.751818181999994</v>
      </c>
    </row>
    <row r="100" spans="1:13" x14ac:dyDescent="0.3">
      <c r="F100" s="20">
        <v>-77.727272726999999</v>
      </c>
      <c r="G100" s="20">
        <v>4.9287770000000002E-2</v>
      </c>
      <c r="H100" s="21">
        <v>1.4041545000000001E-2</v>
      </c>
      <c r="K100" s="12">
        <f t="shared" si="2"/>
        <v>15.842727272999994</v>
      </c>
    </row>
    <row r="101" spans="1:13" x14ac:dyDescent="0.3">
      <c r="F101" s="20">
        <v>-73.636363635999999</v>
      </c>
      <c r="G101" s="20">
        <v>3.6561618999999997E-2</v>
      </c>
      <c r="H101" s="21">
        <v>1.4041545000000001E-2</v>
      </c>
      <c r="K101" s="12">
        <f t="shared" si="2"/>
        <v>19.933636363999995</v>
      </c>
      <c r="L101">
        <f>C97/L97</f>
        <v>0.32796165298893082</v>
      </c>
    </row>
    <row r="102" spans="1:13" x14ac:dyDescent="0.3">
      <c r="F102" s="20">
        <v>-69.545454544999998</v>
      </c>
      <c r="G102" s="20">
        <v>2.3900507000000001E-2</v>
      </c>
      <c r="H102" s="21">
        <v>1.4041545000000001E-2</v>
      </c>
      <c r="K102" s="12">
        <f t="shared" si="2"/>
        <v>24.024545454999995</v>
      </c>
    </row>
    <row r="103" spans="1:13" x14ac:dyDescent="0.3">
      <c r="F103" s="20">
        <v>-65.454545455000002</v>
      </c>
      <c r="G103" s="20">
        <v>1.4519733999999999E-2</v>
      </c>
      <c r="H103" s="21">
        <v>1.4041545000000001E-2</v>
      </c>
      <c r="K103" s="12">
        <f t="shared" si="2"/>
        <v>28.115454544999992</v>
      </c>
    </row>
    <row r="104" spans="1:13" x14ac:dyDescent="0.3">
      <c r="F104" s="20">
        <v>-61.363636364000001</v>
      </c>
      <c r="G104" s="20">
        <v>1.0668619000000001E-2</v>
      </c>
      <c r="H104" s="21">
        <v>1.4041545000000001E-2</v>
      </c>
      <c r="K104" s="12">
        <f t="shared" si="2"/>
        <v>32.206363635999992</v>
      </c>
    </row>
    <row r="105" spans="1:13" x14ac:dyDescent="0.3">
      <c r="F105" s="20">
        <v>-57.272727273000001</v>
      </c>
      <c r="G105" s="20">
        <v>7.5787049999999998E-3</v>
      </c>
      <c r="H105" s="21">
        <v>1.4041545000000001E-2</v>
      </c>
      <c r="K105" s="12">
        <f t="shared" si="2"/>
        <v>36.297272726999992</v>
      </c>
    </row>
    <row r="106" spans="1:13" x14ac:dyDescent="0.3">
      <c r="F106" s="20">
        <v>-53.181818182000001</v>
      </c>
      <c r="G106" s="20">
        <v>5.7110049999999999E-3</v>
      </c>
      <c r="H106" s="21">
        <v>1.4041545000000001E-2</v>
      </c>
      <c r="K106" s="12">
        <f t="shared" si="2"/>
        <v>40.388181817999993</v>
      </c>
    </row>
    <row r="107" spans="1:13" x14ac:dyDescent="0.3">
      <c r="F107" s="20">
        <v>-49.090909091</v>
      </c>
      <c r="G107" s="20">
        <v>4.7698530000000001E-3</v>
      </c>
      <c r="H107" s="21">
        <v>1.4041545000000001E-2</v>
      </c>
      <c r="K107" s="12">
        <f t="shared" si="2"/>
        <v>44.479090908999979</v>
      </c>
    </row>
    <row r="108" spans="1:13" x14ac:dyDescent="0.3">
      <c r="F108" s="20">
        <v>-45</v>
      </c>
      <c r="G108" s="20">
        <v>3.9899250000000001E-3</v>
      </c>
      <c r="H108" s="21">
        <v>1.4041545000000001E-2</v>
      </c>
      <c r="K108" s="12">
        <f t="shared" si="2"/>
        <v>48.569999999999993</v>
      </c>
    </row>
    <row r="109" spans="1:13" x14ac:dyDescent="0.3">
      <c r="F109" s="20">
        <v>-40.909090909</v>
      </c>
      <c r="G109" s="20">
        <v>3.5182490000000002E-3</v>
      </c>
      <c r="H109" s="21">
        <v>1.4041545000000001E-2</v>
      </c>
      <c r="K109" s="12">
        <f t="shared" si="2"/>
        <v>52.660909091000008</v>
      </c>
    </row>
    <row r="110" spans="1:13" x14ac:dyDescent="0.3">
      <c r="F110" s="20">
        <v>-36.818181817999999</v>
      </c>
      <c r="G110" s="20">
        <v>3.4567370000000001E-3</v>
      </c>
      <c r="H110" s="21">
        <v>1.4041545000000001E-2</v>
      </c>
      <c r="K110" s="12">
        <f t="shared" si="2"/>
        <v>56.751818181999994</v>
      </c>
    </row>
    <row r="111" spans="1:13" x14ac:dyDescent="0.3">
      <c r="F111" s="20">
        <v>-32.727272726999999</v>
      </c>
      <c r="G111" s="20">
        <v>3.3705430000000002E-3</v>
      </c>
      <c r="H111" s="21">
        <v>1.4041545000000001E-2</v>
      </c>
      <c r="K111" s="12">
        <f t="shared" si="2"/>
        <v>60.84272727299998</v>
      </c>
    </row>
    <row r="112" spans="1:13" x14ac:dyDescent="0.3">
      <c r="F112" s="20">
        <v>-28.636363635999999</v>
      </c>
      <c r="G112" s="20">
        <v>2.9054229999999999E-3</v>
      </c>
      <c r="H112" s="21">
        <v>1.4041545000000001E-2</v>
      </c>
      <c r="K112" s="12">
        <f t="shared" si="2"/>
        <v>64.933636363999995</v>
      </c>
    </row>
    <row r="113" spans="6:11" x14ac:dyDescent="0.3">
      <c r="F113" s="20">
        <v>-24.545454544999998</v>
      </c>
      <c r="G113" s="20">
        <v>2.7036579999999998E-3</v>
      </c>
      <c r="H113" s="21">
        <v>1.4041545000000001E-2</v>
      </c>
      <c r="K113" s="12">
        <f t="shared" si="2"/>
        <v>69.024545455000009</v>
      </c>
    </row>
    <row r="114" spans="6:11" x14ac:dyDescent="0.3">
      <c r="F114" s="20">
        <v>-20.454545455000002</v>
      </c>
      <c r="G114" s="20">
        <v>2.7181729999999999E-3</v>
      </c>
      <c r="H114" s="21">
        <v>1.4041545000000001E-2</v>
      </c>
      <c r="K114" s="12">
        <f t="shared" si="2"/>
        <v>73.115454544999977</v>
      </c>
    </row>
    <row r="115" spans="6:11" x14ac:dyDescent="0.3">
      <c r="F115" s="20">
        <v>-16.363636364000001</v>
      </c>
      <c r="G115" s="20">
        <v>2.7374539999999998E-3</v>
      </c>
      <c r="H115" s="21">
        <v>1.4041545000000001E-2</v>
      </c>
      <c r="K115" s="12">
        <f t="shared" si="2"/>
        <v>77.206363635999992</v>
      </c>
    </row>
    <row r="116" spans="6:11" x14ac:dyDescent="0.3">
      <c r="F116" s="20">
        <v>-12.272727272999999</v>
      </c>
      <c r="G116" s="20">
        <v>2.7557129999999999E-3</v>
      </c>
      <c r="H116" s="21">
        <v>1.4041545000000001E-2</v>
      </c>
      <c r="K116" s="12">
        <f t="shared" si="2"/>
        <v>81.297272727000006</v>
      </c>
    </row>
    <row r="117" spans="6:11" x14ac:dyDescent="0.3">
      <c r="F117" s="20">
        <v>-8.1818181820000007</v>
      </c>
      <c r="G117" s="20">
        <v>2.9015820000000002E-3</v>
      </c>
      <c r="H117" s="21">
        <v>1.4041545000000001E-2</v>
      </c>
      <c r="K117" s="12">
        <f t="shared" si="2"/>
        <v>85.388181817999993</v>
      </c>
    </row>
    <row r="118" spans="6:11" x14ac:dyDescent="0.3">
      <c r="F118" s="20">
        <v>-4.0909090910000003</v>
      </c>
      <c r="G118" s="20">
        <v>2.7116340000000001E-3</v>
      </c>
      <c r="H118" s="21">
        <v>1.4041545000000001E-2</v>
      </c>
      <c r="K118" s="12">
        <f t="shared" si="2"/>
        <v>89.479090908999979</v>
      </c>
    </row>
    <row r="119" spans="6:11" x14ac:dyDescent="0.3">
      <c r="F119" s="20">
        <v>0</v>
      </c>
      <c r="G119" s="20">
        <v>3.135259E-3</v>
      </c>
      <c r="H119" s="21">
        <v>1.4041545000000001E-2</v>
      </c>
      <c r="K119" s="12">
        <f t="shared" si="2"/>
        <v>86.43</v>
      </c>
    </row>
    <row r="120" spans="6:11" x14ac:dyDescent="0.3">
      <c r="F120" s="20">
        <v>4.0909090910000003</v>
      </c>
      <c r="G120" s="20">
        <v>2.5910960000000002E-3</v>
      </c>
      <c r="H120" s="21">
        <v>1.4041545000000001E-2</v>
      </c>
      <c r="K120" s="12">
        <f t="shared" si="2"/>
        <v>82.339090909000006</v>
      </c>
    </row>
    <row r="121" spans="6:11" x14ac:dyDescent="0.3">
      <c r="F121" s="20">
        <v>8.1818181820000007</v>
      </c>
      <c r="G121" s="20">
        <v>2.8527489999999999E-3</v>
      </c>
      <c r="H121" s="21">
        <v>1.4041545000000001E-2</v>
      </c>
      <c r="K121" s="12">
        <f t="shared" si="2"/>
        <v>78.248181818000006</v>
      </c>
    </row>
    <row r="122" spans="6:11" x14ac:dyDescent="0.3">
      <c r="F122" s="20">
        <v>12.272727272999999</v>
      </c>
      <c r="G122" s="20">
        <v>2.8229319999999998E-3</v>
      </c>
      <c r="H122" s="21">
        <v>1.4041545000000001E-2</v>
      </c>
      <c r="K122" s="12">
        <f t="shared" si="2"/>
        <v>74.157272727000006</v>
      </c>
    </row>
    <row r="123" spans="6:11" x14ac:dyDescent="0.3">
      <c r="F123" s="20">
        <v>16.363636364000001</v>
      </c>
      <c r="G123" s="20">
        <v>2.722819E-3</v>
      </c>
      <c r="H123" s="21">
        <v>1.4041545000000001E-2</v>
      </c>
      <c r="K123" s="12">
        <f t="shared" si="2"/>
        <v>70.066363636000005</v>
      </c>
    </row>
    <row r="124" spans="6:11" x14ac:dyDescent="0.3">
      <c r="F124" s="20">
        <v>20.454545455000002</v>
      </c>
      <c r="G124" s="20">
        <v>2.8339749999999999E-3</v>
      </c>
      <c r="H124" s="21">
        <v>1.4041545000000001E-2</v>
      </c>
      <c r="K124" s="12">
        <f t="shared" si="2"/>
        <v>65.975454545000005</v>
      </c>
    </row>
    <row r="125" spans="6:11" x14ac:dyDescent="0.3">
      <c r="F125" s="20">
        <v>24.545454544999998</v>
      </c>
      <c r="G125" s="20">
        <v>2.7997320000000001E-3</v>
      </c>
      <c r="H125" s="21">
        <v>1.4041545000000001E-2</v>
      </c>
      <c r="K125" s="12">
        <f t="shared" si="2"/>
        <v>61.884545455000008</v>
      </c>
    </row>
    <row r="126" spans="6:11" x14ac:dyDescent="0.3">
      <c r="F126" s="20">
        <v>28.636363635999999</v>
      </c>
      <c r="G126" s="20">
        <v>2.6662510000000001E-3</v>
      </c>
      <c r="H126" s="21">
        <v>1.4041545000000001E-2</v>
      </c>
      <c r="K126" s="12">
        <f t="shared" si="2"/>
        <v>57.793636364000008</v>
      </c>
    </row>
    <row r="127" spans="6:11" x14ac:dyDescent="0.3">
      <c r="F127" s="20">
        <v>32.727272726999999</v>
      </c>
      <c r="G127" s="20">
        <v>2.8425299999999998E-3</v>
      </c>
      <c r="H127" s="21">
        <v>1.4041545000000001E-2</v>
      </c>
      <c r="K127" s="12">
        <f t="shared" si="2"/>
        <v>53.702727273000008</v>
      </c>
    </row>
    <row r="128" spans="6:11" x14ac:dyDescent="0.3">
      <c r="F128" s="20">
        <v>36.818181817999999</v>
      </c>
      <c r="G128" s="20">
        <v>3.5661439999999998E-3</v>
      </c>
      <c r="H128" s="21">
        <v>1.4041545000000001E-2</v>
      </c>
      <c r="K128" s="12">
        <f t="shared" si="2"/>
        <v>49.611818182000007</v>
      </c>
    </row>
    <row r="129" spans="1:13" x14ac:dyDescent="0.3">
      <c r="F129" s="20">
        <v>40.909090909</v>
      </c>
      <c r="G129" s="20">
        <v>3.6653459999999999E-3</v>
      </c>
      <c r="H129" s="21">
        <v>1.4041545000000001E-2</v>
      </c>
      <c r="K129" s="12">
        <f t="shared" si="2"/>
        <v>45.520909091000007</v>
      </c>
    </row>
    <row r="130" spans="1:13" x14ac:dyDescent="0.3">
      <c r="F130" s="20">
        <v>45</v>
      </c>
      <c r="G130" s="20">
        <v>4.2461269999999997E-3</v>
      </c>
      <c r="H130" s="21">
        <v>1.4041549E-2</v>
      </c>
      <c r="K130" s="12">
        <f t="shared" si="2"/>
        <v>41.430000000000007</v>
      </c>
    </row>
    <row r="131" spans="1:13" x14ac:dyDescent="0.3">
      <c r="F131" s="20">
        <v>49.090909091</v>
      </c>
      <c r="G131" s="20">
        <v>4.5146659999999996E-3</v>
      </c>
      <c r="H131" s="21">
        <v>1.4041642999999999E-2</v>
      </c>
      <c r="K131" s="12">
        <f t="shared" si="2"/>
        <v>37.339090909000006</v>
      </c>
    </row>
    <row r="132" spans="1:13" x14ac:dyDescent="0.3">
      <c r="F132" s="20">
        <v>53.181818182000001</v>
      </c>
      <c r="G132" s="20">
        <v>5.3201790000000004E-3</v>
      </c>
      <c r="H132" s="21">
        <v>1.4043294E-2</v>
      </c>
      <c r="K132" s="12">
        <f t="shared" si="2"/>
        <v>33.248181818000006</v>
      </c>
    </row>
    <row r="133" spans="1:13" x14ac:dyDescent="0.3">
      <c r="F133" s="20">
        <v>57.272727273000001</v>
      </c>
      <c r="G133" s="20">
        <v>6.1202829999999998E-3</v>
      </c>
      <c r="H133" s="21">
        <v>1.4063868E-2</v>
      </c>
      <c r="K133" s="12">
        <f t="shared" si="2"/>
        <v>29.157272727000006</v>
      </c>
    </row>
    <row r="134" spans="1:13" x14ac:dyDescent="0.3">
      <c r="F134" s="20">
        <v>61.363636364000001</v>
      </c>
      <c r="G134" s="20">
        <v>7.9822680000000007E-3</v>
      </c>
      <c r="H134" s="21">
        <v>1.4245588999999999E-2</v>
      </c>
      <c r="K134" s="12">
        <f t="shared" si="2"/>
        <v>25.066363636000005</v>
      </c>
    </row>
    <row r="135" spans="1:13" x14ac:dyDescent="0.3">
      <c r="F135" s="20">
        <v>65.454545455000002</v>
      </c>
      <c r="G135" s="20">
        <v>1.1028586E-2</v>
      </c>
      <c r="H135" s="21">
        <v>1.5377139E-2</v>
      </c>
      <c r="K135" s="12">
        <f t="shared" si="2"/>
        <v>20.975454545000005</v>
      </c>
    </row>
    <row r="136" spans="1:13" x14ac:dyDescent="0.3">
      <c r="F136" s="20">
        <v>69.545454544999998</v>
      </c>
      <c r="G136" s="20">
        <v>1.6922519E-2</v>
      </c>
      <c r="H136" s="21">
        <v>2.0302021999999999E-2</v>
      </c>
      <c r="K136" s="12">
        <f t="shared" si="2"/>
        <v>16.884545455000008</v>
      </c>
    </row>
    <row r="137" spans="1:13" x14ac:dyDescent="0.3">
      <c r="F137" s="20">
        <v>73.636363635999999</v>
      </c>
      <c r="G137" s="20">
        <v>2.8849361E-2</v>
      </c>
      <c r="H137" s="21">
        <v>3.5056243000000001E-2</v>
      </c>
      <c r="K137" s="12">
        <f t="shared" si="2"/>
        <v>12.793636364000008</v>
      </c>
    </row>
    <row r="138" spans="1:13" x14ac:dyDescent="0.3">
      <c r="F138" s="20">
        <v>77.727272726999999</v>
      </c>
      <c r="G138" s="20">
        <v>6.0001341E-2</v>
      </c>
      <c r="H138" s="21">
        <v>6.4556689E-2</v>
      </c>
      <c r="K138" s="12">
        <f t="shared" si="2"/>
        <v>8.7027272730000078</v>
      </c>
    </row>
    <row r="139" spans="1:13" x14ac:dyDescent="0.3">
      <c r="F139" s="20">
        <v>81.818181817999999</v>
      </c>
      <c r="G139" s="20">
        <v>0.12174569</v>
      </c>
      <c r="H139" s="21">
        <v>0.100998191</v>
      </c>
      <c r="K139" s="12">
        <f t="shared" si="2"/>
        <v>4.6118181820000075</v>
      </c>
    </row>
    <row r="140" spans="1:13" x14ac:dyDescent="0.3">
      <c r="F140" s="20">
        <v>85.909090909</v>
      </c>
      <c r="G140" s="20">
        <v>0.100291357</v>
      </c>
      <c r="H140" s="21">
        <v>0.121234614</v>
      </c>
      <c r="K140" s="12">
        <f t="shared" si="2"/>
        <v>0.52090909100000715</v>
      </c>
    </row>
    <row r="141" spans="1:13" s="15" customFormat="1" x14ac:dyDescent="0.3">
      <c r="F141" s="23">
        <v>90</v>
      </c>
      <c r="G141" s="23">
        <v>0.11743764900000001</v>
      </c>
      <c r="H141" s="24">
        <v>0.10866817500000001</v>
      </c>
      <c r="K141" s="12">
        <f t="shared" si="2"/>
        <v>3.5699999999999932</v>
      </c>
    </row>
    <row r="142" spans="1:13" x14ac:dyDescent="0.3">
      <c r="A142" s="9">
        <v>20241115</v>
      </c>
      <c r="B142" s="9">
        <v>-87.11</v>
      </c>
      <c r="C142" s="9">
        <v>8.56</v>
      </c>
      <c r="D142" s="9">
        <v>0.47</v>
      </c>
      <c r="E142" s="9">
        <v>0.54</v>
      </c>
      <c r="F142" s="20">
        <v>-90</v>
      </c>
      <c r="G142" s="20">
        <v>0.126919848</v>
      </c>
      <c r="H142" s="21">
        <v>0.118486784</v>
      </c>
      <c r="K142" s="12">
        <f>MIN(ABS(F142-$B$142), ABS(F142-180-$B$142), ABS(F142+180-$B$142))</f>
        <v>2.8900000000000006</v>
      </c>
      <c r="L142" s="13" cm="1">
        <f t="array" ref="L142">SQRT(SUMPRODUCT(G142:G186,K142:K186*K142:K186))</f>
        <v>23.519829454770882</v>
      </c>
      <c r="M142" s="14" cm="1">
        <f t="array" ref="M142">SUMPRODUCT(G142:G186,ABS(K142:K186))</f>
        <v>14.128935408863617</v>
      </c>
    </row>
    <row r="143" spans="1:13" x14ac:dyDescent="0.3">
      <c r="F143" s="20">
        <v>-85.909090909</v>
      </c>
      <c r="G143" s="20">
        <v>0.10463940400000001</v>
      </c>
      <c r="H143" s="21">
        <v>0.12359397699999999</v>
      </c>
      <c r="K143" s="12">
        <f t="shared" ref="K143:K186" si="3">MIN(ABS(F143-$B$142), ABS(F143-180-$B$142), ABS(F143+180-$B$142))</f>
        <v>1.2009090909999998</v>
      </c>
    </row>
    <row r="144" spans="1:13" x14ac:dyDescent="0.3">
      <c r="F144" s="20">
        <v>-81.818181817999999</v>
      </c>
      <c r="G144" s="20">
        <v>0.116942064</v>
      </c>
      <c r="H144" s="21">
        <v>0.105227508</v>
      </c>
      <c r="K144" s="12">
        <f t="shared" si="3"/>
        <v>5.2918181820000001</v>
      </c>
    </row>
    <row r="145" spans="6:12" x14ac:dyDescent="0.3">
      <c r="F145" s="20">
        <v>-77.727272726999999</v>
      </c>
      <c r="G145" s="20">
        <v>8.1644080999999993E-2</v>
      </c>
      <c r="H145" s="21">
        <v>7.4162297000000002E-2</v>
      </c>
      <c r="K145" s="12">
        <f t="shared" si="3"/>
        <v>9.3827272730000004</v>
      </c>
      <c r="L145">
        <f>C142/L142</f>
        <v>0.36394821724626264</v>
      </c>
    </row>
    <row r="146" spans="6:12" x14ac:dyDescent="0.3">
      <c r="F146" s="20">
        <v>-73.636363635999999</v>
      </c>
      <c r="G146" s="20">
        <v>3.7930303999999998E-2</v>
      </c>
      <c r="H146" s="21">
        <v>4.5227406999999997E-2</v>
      </c>
      <c r="K146" s="12">
        <f t="shared" si="3"/>
        <v>13.473636364000001</v>
      </c>
    </row>
    <row r="147" spans="6:12" x14ac:dyDescent="0.3">
      <c r="F147" s="20">
        <v>-69.545454544999998</v>
      </c>
      <c r="G147" s="20">
        <v>2.0203682000000001E-2</v>
      </c>
      <c r="H147" s="21">
        <v>2.6451042000000001E-2</v>
      </c>
      <c r="K147" s="12">
        <f t="shared" si="3"/>
        <v>17.564545455000001</v>
      </c>
    </row>
    <row r="148" spans="6:12" x14ac:dyDescent="0.3">
      <c r="F148" s="20">
        <v>-65.454545455000002</v>
      </c>
      <c r="G148" s="20">
        <v>1.5356524E-2</v>
      </c>
      <c r="H148" s="21">
        <v>1.7391798999999999E-2</v>
      </c>
      <c r="K148" s="12">
        <f t="shared" si="3"/>
        <v>21.655454544999998</v>
      </c>
    </row>
    <row r="149" spans="6:12" x14ac:dyDescent="0.3">
      <c r="F149" s="20">
        <v>-61.363636364000001</v>
      </c>
      <c r="G149" s="20">
        <v>1.2988931E-2</v>
      </c>
      <c r="H149" s="21">
        <v>1.4051551000000001E-2</v>
      </c>
      <c r="K149" s="12">
        <f t="shared" si="3"/>
        <v>25.746363635999998</v>
      </c>
    </row>
    <row r="150" spans="6:12" x14ac:dyDescent="0.3">
      <c r="F150" s="20">
        <v>-57.272727273000001</v>
      </c>
      <c r="G150" s="20">
        <v>1.0881471E-2</v>
      </c>
      <c r="H150" s="21">
        <v>1.3096966E-2</v>
      </c>
      <c r="K150" s="12">
        <f t="shared" si="3"/>
        <v>29.837272726999998</v>
      </c>
    </row>
    <row r="151" spans="6:12" x14ac:dyDescent="0.3">
      <c r="F151" s="20">
        <v>-53.181818182000001</v>
      </c>
      <c r="G151" s="20">
        <v>8.4936209999999998E-3</v>
      </c>
      <c r="H151" s="21">
        <v>1.2883775E-2</v>
      </c>
      <c r="K151" s="12">
        <f t="shared" si="3"/>
        <v>33.928181817999999</v>
      </c>
    </row>
    <row r="152" spans="6:12" x14ac:dyDescent="0.3">
      <c r="F152" s="20">
        <v>-49.090909091</v>
      </c>
      <c r="G152" s="20">
        <v>6.9259589999999998E-3</v>
      </c>
      <c r="H152" s="21">
        <v>1.2846372999999999E-2</v>
      </c>
      <c r="K152" s="12">
        <f t="shared" si="3"/>
        <v>38.019090908999999</v>
      </c>
    </row>
    <row r="153" spans="6:12" x14ac:dyDescent="0.3">
      <c r="F153" s="20">
        <v>-45</v>
      </c>
      <c r="G153" s="20">
        <v>6.4471449999999996E-3</v>
      </c>
      <c r="H153" s="21">
        <v>1.2841201E-2</v>
      </c>
      <c r="K153" s="12">
        <f t="shared" si="3"/>
        <v>42.11</v>
      </c>
    </row>
    <row r="154" spans="6:12" x14ac:dyDescent="0.3">
      <c r="F154" s="20">
        <v>-40.909090909</v>
      </c>
      <c r="G154" s="20">
        <v>5.1283479999999996E-3</v>
      </c>
      <c r="H154" s="21">
        <v>1.2840636000000001E-2</v>
      </c>
      <c r="K154" s="12">
        <f t="shared" si="3"/>
        <v>46.200909091</v>
      </c>
    </row>
    <row r="155" spans="6:12" x14ac:dyDescent="0.3">
      <c r="F155" s="20">
        <v>-36.818181817999999</v>
      </c>
      <c r="G155" s="20">
        <v>4.5689770000000001E-3</v>
      </c>
      <c r="H155" s="21">
        <v>1.2840587000000001E-2</v>
      </c>
      <c r="K155" s="12">
        <f t="shared" si="3"/>
        <v>50.291818182</v>
      </c>
    </row>
    <row r="156" spans="6:12" x14ac:dyDescent="0.3">
      <c r="F156" s="20">
        <v>-32.727272726999999</v>
      </c>
      <c r="G156" s="20">
        <v>4.2989600000000001E-3</v>
      </c>
      <c r="H156" s="21">
        <v>1.2840584E-2</v>
      </c>
      <c r="K156" s="12">
        <f t="shared" si="3"/>
        <v>54.382727273</v>
      </c>
    </row>
    <row r="157" spans="6:12" x14ac:dyDescent="0.3">
      <c r="F157" s="20">
        <v>-28.636363635999999</v>
      </c>
      <c r="G157" s="20">
        <v>3.6102249999999999E-3</v>
      </c>
      <c r="H157" s="21">
        <v>1.2840584E-2</v>
      </c>
      <c r="K157" s="12">
        <f t="shared" si="3"/>
        <v>58.473636364000001</v>
      </c>
    </row>
    <row r="158" spans="6:12" x14ac:dyDescent="0.3">
      <c r="F158" s="20">
        <v>-24.545454544999998</v>
      </c>
      <c r="G158" s="20">
        <v>3.8456409999999999E-3</v>
      </c>
      <c r="H158" s="21">
        <v>1.2840584E-2</v>
      </c>
      <c r="K158" s="12">
        <f t="shared" si="3"/>
        <v>62.564545455000001</v>
      </c>
    </row>
    <row r="159" spans="6:12" x14ac:dyDescent="0.3">
      <c r="F159" s="20">
        <v>-20.454545455000002</v>
      </c>
      <c r="G159" s="20">
        <v>3.989266E-3</v>
      </c>
      <c r="H159" s="21">
        <v>1.2840584E-2</v>
      </c>
      <c r="K159" s="12">
        <f t="shared" si="3"/>
        <v>66.655454544999998</v>
      </c>
    </row>
    <row r="160" spans="6:12" x14ac:dyDescent="0.3">
      <c r="F160" s="20">
        <v>-16.363636364000001</v>
      </c>
      <c r="G160" s="20">
        <v>3.492701E-3</v>
      </c>
      <c r="H160" s="21">
        <v>1.2840584E-2</v>
      </c>
      <c r="K160" s="12">
        <f t="shared" si="3"/>
        <v>70.746363635999998</v>
      </c>
    </row>
    <row r="161" spans="6:11" x14ac:dyDescent="0.3">
      <c r="F161" s="20">
        <v>-12.272727272999999</v>
      </c>
      <c r="G161" s="20">
        <v>3.5364350000000001E-3</v>
      </c>
      <c r="H161" s="21">
        <v>1.2840584E-2</v>
      </c>
      <c r="K161" s="12">
        <f t="shared" si="3"/>
        <v>74.837272726999998</v>
      </c>
    </row>
    <row r="162" spans="6:11" x14ac:dyDescent="0.3">
      <c r="F162" s="20">
        <v>-8.1818181820000007</v>
      </c>
      <c r="G162" s="20">
        <v>3.6510869999999999E-3</v>
      </c>
      <c r="H162" s="21">
        <v>1.2840584E-2</v>
      </c>
      <c r="K162" s="12">
        <f t="shared" si="3"/>
        <v>78.928181817999999</v>
      </c>
    </row>
    <row r="163" spans="6:11" x14ac:dyDescent="0.3">
      <c r="F163" s="20">
        <v>-4.0909090910000003</v>
      </c>
      <c r="G163" s="20">
        <v>3.2921370000000001E-3</v>
      </c>
      <c r="H163" s="21">
        <v>1.2840584E-2</v>
      </c>
      <c r="K163" s="12">
        <f t="shared" si="3"/>
        <v>83.019090908999999</v>
      </c>
    </row>
    <row r="164" spans="6:11" x14ac:dyDescent="0.3">
      <c r="F164" s="20">
        <v>0</v>
      </c>
      <c r="G164" s="20">
        <v>4.2005239999999998E-3</v>
      </c>
      <c r="H164" s="21">
        <v>1.2840584E-2</v>
      </c>
      <c r="K164" s="12">
        <f t="shared" si="3"/>
        <v>87.11</v>
      </c>
    </row>
    <row r="165" spans="6:11" x14ac:dyDescent="0.3">
      <c r="F165" s="20">
        <v>4.0909090910000003</v>
      </c>
      <c r="G165" s="20">
        <v>3.4094659999999999E-3</v>
      </c>
      <c r="H165" s="21">
        <v>1.2840584E-2</v>
      </c>
      <c r="K165" s="12">
        <f t="shared" si="3"/>
        <v>88.799090908999986</v>
      </c>
    </row>
    <row r="166" spans="6:11" x14ac:dyDescent="0.3">
      <c r="F166" s="20">
        <v>8.1818181820000007</v>
      </c>
      <c r="G166" s="20">
        <v>3.5890520000000001E-3</v>
      </c>
      <c r="H166" s="21">
        <v>1.2840584E-2</v>
      </c>
      <c r="K166" s="12">
        <f t="shared" si="3"/>
        <v>84.708181818</v>
      </c>
    </row>
    <row r="167" spans="6:11" x14ac:dyDescent="0.3">
      <c r="F167" s="20">
        <v>12.272727272999999</v>
      </c>
      <c r="G167" s="20">
        <v>3.9455619999999997E-3</v>
      </c>
      <c r="H167" s="21">
        <v>1.2840584E-2</v>
      </c>
      <c r="K167" s="12">
        <f t="shared" si="3"/>
        <v>80.617272727000014</v>
      </c>
    </row>
    <row r="168" spans="6:11" x14ac:dyDescent="0.3">
      <c r="F168" s="20">
        <v>16.363636364000001</v>
      </c>
      <c r="G168" s="20">
        <v>3.7494199999999998E-3</v>
      </c>
      <c r="H168" s="21">
        <v>1.2840584E-2</v>
      </c>
      <c r="K168" s="12">
        <f t="shared" si="3"/>
        <v>76.526363635999999</v>
      </c>
    </row>
    <row r="169" spans="6:11" x14ac:dyDescent="0.3">
      <c r="F169" s="20">
        <v>20.454545455000002</v>
      </c>
      <c r="G169" s="20">
        <v>3.9745290000000001E-3</v>
      </c>
      <c r="H169" s="21">
        <v>1.2840584E-2</v>
      </c>
      <c r="K169" s="12">
        <f t="shared" si="3"/>
        <v>72.435454544999985</v>
      </c>
    </row>
    <row r="170" spans="6:11" x14ac:dyDescent="0.3">
      <c r="F170" s="20">
        <v>24.545454544999998</v>
      </c>
      <c r="G170" s="20">
        <v>3.890625E-3</v>
      </c>
      <c r="H170" s="21">
        <v>1.2840584E-2</v>
      </c>
      <c r="K170" s="12">
        <f t="shared" si="3"/>
        <v>68.344545455000016</v>
      </c>
    </row>
    <row r="171" spans="6:11" x14ac:dyDescent="0.3">
      <c r="F171" s="20">
        <v>28.636363635999999</v>
      </c>
      <c r="G171" s="20">
        <v>3.8001670000000001E-3</v>
      </c>
      <c r="H171" s="21">
        <v>1.2840584E-2</v>
      </c>
      <c r="K171" s="12">
        <f t="shared" si="3"/>
        <v>64.253636364000002</v>
      </c>
    </row>
    <row r="172" spans="6:11" x14ac:dyDescent="0.3">
      <c r="F172" s="20">
        <v>32.727272726999999</v>
      </c>
      <c r="G172" s="20">
        <v>3.9291739999999997E-3</v>
      </c>
      <c r="H172" s="21">
        <v>1.2840584E-2</v>
      </c>
      <c r="K172" s="12">
        <f t="shared" si="3"/>
        <v>60.162727272999987</v>
      </c>
    </row>
    <row r="173" spans="6:11" x14ac:dyDescent="0.3">
      <c r="F173" s="20">
        <v>36.818181817999999</v>
      </c>
      <c r="G173" s="20">
        <v>4.2207809999999998E-3</v>
      </c>
      <c r="H173" s="21">
        <v>1.2840584E-2</v>
      </c>
      <c r="K173" s="12">
        <f t="shared" si="3"/>
        <v>56.071818182000001</v>
      </c>
    </row>
    <row r="174" spans="6:11" x14ac:dyDescent="0.3">
      <c r="F174" s="20">
        <v>40.909090909</v>
      </c>
      <c r="G174" s="20">
        <v>4.3220039999999999E-3</v>
      </c>
      <c r="H174" s="21">
        <v>1.2840584E-2</v>
      </c>
      <c r="K174" s="12">
        <f t="shared" si="3"/>
        <v>51.980909091000015</v>
      </c>
    </row>
    <row r="175" spans="6:11" x14ac:dyDescent="0.3">
      <c r="F175" s="20">
        <v>45</v>
      </c>
      <c r="G175" s="20">
        <v>4.6273659999999999E-3</v>
      </c>
      <c r="H175" s="21">
        <v>1.2840584E-2</v>
      </c>
      <c r="K175" s="12">
        <f t="shared" si="3"/>
        <v>47.89</v>
      </c>
    </row>
    <row r="176" spans="6:11" x14ac:dyDescent="0.3">
      <c r="F176" s="20">
        <v>49.090909091</v>
      </c>
      <c r="G176" s="20">
        <v>4.9403850000000003E-3</v>
      </c>
      <c r="H176" s="21">
        <v>1.2840584E-2</v>
      </c>
      <c r="K176" s="12">
        <f t="shared" si="3"/>
        <v>43.799090908999986</v>
      </c>
    </row>
    <row r="177" spans="1:13" x14ac:dyDescent="0.3">
      <c r="F177" s="20">
        <v>53.181818182000001</v>
      </c>
      <c r="G177" s="20">
        <v>5.8978490000000001E-3</v>
      </c>
      <c r="H177" s="21">
        <v>1.2840584E-2</v>
      </c>
      <c r="K177" s="12">
        <f t="shared" si="3"/>
        <v>39.708181818</v>
      </c>
    </row>
    <row r="178" spans="1:13" x14ac:dyDescent="0.3">
      <c r="F178" s="20">
        <v>57.272727273000001</v>
      </c>
      <c r="G178" s="20">
        <v>6.2265189999999998E-3</v>
      </c>
      <c r="H178" s="21">
        <v>1.2840584E-2</v>
      </c>
      <c r="K178" s="12">
        <f t="shared" si="3"/>
        <v>35.617272727</v>
      </c>
    </row>
    <row r="179" spans="1:13" x14ac:dyDescent="0.3">
      <c r="F179" s="20">
        <v>61.363636364000001</v>
      </c>
      <c r="G179" s="20">
        <v>7.2647370000000003E-3</v>
      </c>
      <c r="H179" s="21">
        <v>1.2840584E-2</v>
      </c>
      <c r="K179" s="12">
        <f t="shared" si="3"/>
        <v>31.526363635999999</v>
      </c>
    </row>
    <row r="180" spans="1:13" x14ac:dyDescent="0.3">
      <c r="F180" s="20">
        <v>65.454545455000002</v>
      </c>
      <c r="G180" s="20">
        <v>9.0364469999999995E-3</v>
      </c>
      <c r="H180" s="21">
        <v>1.2840584E-2</v>
      </c>
      <c r="K180" s="12">
        <f t="shared" si="3"/>
        <v>27.435454544999999</v>
      </c>
    </row>
    <row r="181" spans="1:13" x14ac:dyDescent="0.3">
      <c r="F181" s="20">
        <v>69.545454544999998</v>
      </c>
      <c r="G181" s="20">
        <v>1.1348738000000001E-2</v>
      </c>
      <c r="H181" s="21">
        <v>1.2840584E-2</v>
      </c>
      <c r="K181" s="12">
        <f t="shared" si="3"/>
        <v>23.344545455000002</v>
      </c>
    </row>
    <row r="182" spans="1:13" x14ac:dyDescent="0.3">
      <c r="F182" s="20">
        <v>73.636363635999999</v>
      </c>
      <c r="G182" s="20">
        <v>1.694232E-2</v>
      </c>
      <c r="H182" s="21">
        <v>1.2840584E-2</v>
      </c>
      <c r="K182" s="12">
        <f t="shared" si="3"/>
        <v>19.253636364000002</v>
      </c>
    </row>
    <row r="183" spans="1:13" x14ac:dyDescent="0.3">
      <c r="F183" s="20">
        <v>77.727272726999999</v>
      </c>
      <c r="G183" s="20">
        <v>3.0378533999999999E-2</v>
      </c>
      <c r="H183" s="21">
        <v>1.2840584E-2</v>
      </c>
      <c r="K183" s="12">
        <f t="shared" si="3"/>
        <v>15.162727273000002</v>
      </c>
    </row>
    <row r="184" spans="1:13" x14ac:dyDescent="0.3">
      <c r="F184" s="20">
        <v>81.818181817999999</v>
      </c>
      <c r="G184" s="20">
        <v>5.0700371000000001E-2</v>
      </c>
      <c r="H184" s="21">
        <v>1.2840584E-2</v>
      </c>
      <c r="K184" s="12">
        <f t="shared" si="3"/>
        <v>11.071818182000001</v>
      </c>
    </row>
    <row r="185" spans="1:13" x14ac:dyDescent="0.3">
      <c r="F185" s="20">
        <v>85.909090909</v>
      </c>
      <c r="G185" s="20">
        <v>9.3898771000000006E-2</v>
      </c>
      <c r="H185" s="21">
        <v>1.2840584E-2</v>
      </c>
      <c r="K185" s="12">
        <f t="shared" si="3"/>
        <v>6.9809090910000009</v>
      </c>
    </row>
    <row r="186" spans="1:13" s="15" customFormat="1" x14ac:dyDescent="0.3">
      <c r="F186" s="23">
        <v>90</v>
      </c>
      <c r="G186" s="23">
        <v>0.126919848</v>
      </c>
      <c r="H186" s="24">
        <v>1.2840584E-2</v>
      </c>
      <c r="K186" s="12">
        <f t="shared" si="3"/>
        <v>2.8900000000000006</v>
      </c>
    </row>
    <row r="187" spans="1:13" x14ac:dyDescent="0.3">
      <c r="A187" s="9">
        <v>20241115</v>
      </c>
      <c r="B187" s="9">
        <v>-89.52</v>
      </c>
      <c r="C187" s="9">
        <v>7.44</v>
      </c>
      <c r="D187" s="9">
        <v>0.48</v>
      </c>
      <c r="E187" s="9">
        <v>0.48</v>
      </c>
      <c r="F187" s="20">
        <v>-90</v>
      </c>
      <c r="G187" s="20">
        <v>0.17000690800000001</v>
      </c>
      <c r="H187" s="21">
        <v>0.16542041399999999</v>
      </c>
      <c r="K187" s="12">
        <f>MIN(ABS(F187-$B$187), ABS(F187-180-$B$187), ABS(F187+180-$B$187))</f>
        <v>0.48000000000000398</v>
      </c>
      <c r="L187" s="13" cm="1">
        <f t="array" ref="L187">SQRT(SUMPRODUCT(G187:G231,K187:K231*K187:K231))</f>
        <v>17.554353064142362</v>
      </c>
      <c r="M187" s="14" cm="1">
        <f t="array" ref="M187">SUMPRODUCT(G187:G231,ABS(K187:K231))</f>
        <v>9.1412337146572522</v>
      </c>
    </row>
    <row r="188" spans="1:13" x14ac:dyDescent="0.3">
      <c r="F188" s="20">
        <v>-85.909090909</v>
      </c>
      <c r="G188" s="20">
        <v>0.134576944</v>
      </c>
      <c r="H188" s="21">
        <v>0.14867281600000001</v>
      </c>
      <c r="K188" s="12">
        <f t="shared" ref="K188:K231" si="4">MIN(ABS(F188-$B$187), ABS(F188-180-$B$187), ABS(F188+180-$B$187))</f>
        <v>3.6109090909999964</v>
      </c>
    </row>
    <row r="189" spans="1:13" x14ac:dyDescent="0.3">
      <c r="F189" s="20">
        <v>-81.818181817999999</v>
      </c>
      <c r="G189" s="20">
        <v>0.119681096</v>
      </c>
      <c r="H189" s="21">
        <v>0.10205932500000001</v>
      </c>
      <c r="K189" s="12">
        <f t="shared" si="4"/>
        <v>7.7018181819999967</v>
      </c>
      <c r="L189">
        <f>C187/L187</f>
        <v>0.4238264989210806</v>
      </c>
    </row>
    <row r="190" spans="1:13" x14ac:dyDescent="0.3">
      <c r="F190" s="20">
        <v>-77.727272726999999</v>
      </c>
      <c r="G190" s="20">
        <v>5.0768673E-2</v>
      </c>
      <c r="H190" s="21">
        <v>5.5975245E-2</v>
      </c>
      <c r="K190" s="12">
        <f t="shared" si="4"/>
        <v>11.792727272999997</v>
      </c>
    </row>
    <row r="191" spans="1:13" x14ac:dyDescent="0.3">
      <c r="F191" s="20">
        <v>-73.636363635999999</v>
      </c>
      <c r="G191" s="20">
        <v>2.0570400999999999E-2</v>
      </c>
      <c r="H191" s="21">
        <v>2.8033308999999999E-2</v>
      </c>
      <c r="K191" s="12">
        <f t="shared" si="4"/>
        <v>15.883636363999997</v>
      </c>
    </row>
    <row r="192" spans="1:13" x14ac:dyDescent="0.3">
      <c r="F192" s="20">
        <v>-69.545454544999998</v>
      </c>
      <c r="G192" s="20">
        <v>1.3361502000000001E-2</v>
      </c>
      <c r="H192" s="21">
        <v>1.6526217999999999E-2</v>
      </c>
      <c r="K192" s="12">
        <f t="shared" si="4"/>
        <v>19.974545454999998</v>
      </c>
    </row>
    <row r="193" spans="6:11" x14ac:dyDescent="0.3">
      <c r="F193" s="20">
        <v>-65.454545455000002</v>
      </c>
      <c r="G193" s="20">
        <v>9.2037500000000001E-3</v>
      </c>
      <c r="H193" s="21">
        <v>1.3183762999999999E-2</v>
      </c>
      <c r="K193" s="12">
        <f t="shared" si="4"/>
        <v>24.065454544999994</v>
      </c>
    </row>
    <row r="194" spans="6:11" x14ac:dyDescent="0.3">
      <c r="F194" s="20">
        <v>-61.363636364000001</v>
      </c>
      <c r="G194" s="20">
        <v>6.5863240000000002E-3</v>
      </c>
      <c r="H194" s="21">
        <v>1.2486499999999999E-2</v>
      </c>
      <c r="K194" s="12">
        <f t="shared" si="4"/>
        <v>28.156363635999995</v>
      </c>
    </row>
    <row r="195" spans="6:11" x14ac:dyDescent="0.3">
      <c r="F195" s="20">
        <v>-57.272727273000001</v>
      </c>
      <c r="G195" s="20">
        <v>4.6777640000000001E-3</v>
      </c>
      <c r="H195" s="21">
        <v>1.2380993999999999E-2</v>
      </c>
      <c r="K195" s="12">
        <f t="shared" si="4"/>
        <v>32.247272726999995</v>
      </c>
    </row>
    <row r="196" spans="6:11" x14ac:dyDescent="0.3">
      <c r="F196" s="20">
        <v>-53.181818182000001</v>
      </c>
      <c r="G196" s="20">
        <v>4.1887310000000002E-3</v>
      </c>
      <c r="H196" s="21">
        <v>1.2369344000000001E-2</v>
      </c>
      <c r="K196" s="12">
        <f t="shared" si="4"/>
        <v>36.338181817999995</v>
      </c>
    </row>
    <row r="197" spans="6:11" x14ac:dyDescent="0.3">
      <c r="F197" s="20">
        <v>-49.090909091</v>
      </c>
      <c r="G197" s="20">
        <v>3.3225519999999999E-3</v>
      </c>
      <c r="H197" s="21">
        <v>1.2368402000000001E-2</v>
      </c>
      <c r="K197" s="12">
        <f t="shared" si="4"/>
        <v>40.429090908999996</v>
      </c>
    </row>
    <row r="198" spans="6:11" x14ac:dyDescent="0.3">
      <c r="F198" s="20">
        <v>-45</v>
      </c>
      <c r="G198" s="20">
        <v>3.082853E-3</v>
      </c>
      <c r="H198" s="21">
        <v>1.2368346000000001E-2</v>
      </c>
      <c r="K198" s="12">
        <f t="shared" si="4"/>
        <v>44.519999999999996</v>
      </c>
    </row>
    <row r="199" spans="6:11" x14ac:dyDescent="0.3">
      <c r="F199" s="20">
        <v>-40.909090909</v>
      </c>
      <c r="G199" s="20">
        <v>2.5650619999999999E-3</v>
      </c>
      <c r="H199" s="21">
        <v>1.2368343E-2</v>
      </c>
      <c r="K199" s="12">
        <f t="shared" si="4"/>
        <v>48.610909090999996</v>
      </c>
    </row>
    <row r="200" spans="6:11" x14ac:dyDescent="0.3">
      <c r="F200" s="20">
        <v>-36.818181817999999</v>
      </c>
      <c r="G200" s="20">
        <v>2.5168059999999999E-3</v>
      </c>
      <c r="H200" s="21">
        <v>1.2368343E-2</v>
      </c>
      <c r="K200" s="12">
        <f t="shared" si="4"/>
        <v>52.701818181999997</v>
      </c>
    </row>
    <row r="201" spans="6:11" x14ac:dyDescent="0.3">
      <c r="F201" s="20">
        <v>-32.727272726999999</v>
      </c>
      <c r="G201" s="20">
        <v>2.2044019999999998E-3</v>
      </c>
      <c r="H201" s="21">
        <v>1.2368343E-2</v>
      </c>
      <c r="K201" s="12">
        <f t="shared" si="4"/>
        <v>56.792727272999997</v>
      </c>
    </row>
    <row r="202" spans="6:11" x14ac:dyDescent="0.3">
      <c r="F202" s="20">
        <v>-28.636363635999999</v>
      </c>
      <c r="G202" s="20">
        <v>2.1337909999999999E-3</v>
      </c>
      <c r="H202" s="21">
        <v>1.2368343E-2</v>
      </c>
      <c r="K202" s="12">
        <f t="shared" si="4"/>
        <v>60.883636363999997</v>
      </c>
    </row>
    <row r="203" spans="6:11" x14ac:dyDescent="0.3">
      <c r="F203" s="20">
        <v>-24.545454544999998</v>
      </c>
      <c r="G203" s="20">
        <v>2.0470879999999999E-3</v>
      </c>
      <c r="H203" s="21">
        <v>1.2368343E-2</v>
      </c>
      <c r="K203" s="12">
        <f t="shared" si="4"/>
        <v>64.974545454999998</v>
      </c>
    </row>
    <row r="204" spans="6:11" x14ac:dyDescent="0.3">
      <c r="F204" s="20">
        <v>-20.454545455000002</v>
      </c>
      <c r="G204" s="20">
        <v>1.8972399999999999E-3</v>
      </c>
      <c r="H204" s="21">
        <v>1.2368343E-2</v>
      </c>
      <c r="K204" s="12">
        <f t="shared" si="4"/>
        <v>69.065454544999994</v>
      </c>
    </row>
    <row r="205" spans="6:11" x14ac:dyDescent="0.3">
      <c r="F205" s="20">
        <v>-16.363636364000001</v>
      </c>
      <c r="G205" s="20">
        <v>1.8738800000000001E-3</v>
      </c>
      <c r="H205" s="21">
        <v>1.2368343E-2</v>
      </c>
      <c r="K205" s="12">
        <f t="shared" si="4"/>
        <v>73.156363635999995</v>
      </c>
    </row>
    <row r="206" spans="6:11" x14ac:dyDescent="0.3">
      <c r="F206" s="20">
        <v>-12.272727272999999</v>
      </c>
      <c r="G206" s="20">
        <v>2.1029809999999999E-3</v>
      </c>
      <c r="H206" s="21">
        <v>1.2368343E-2</v>
      </c>
      <c r="K206" s="12">
        <f t="shared" si="4"/>
        <v>77.247272726999995</v>
      </c>
    </row>
    <row r="207" spans="6:11" x14ac:dyDescent="0.3">
      <c r="F207" s="20">
        <v>-8.1818181820000007</v>
      </c>
      <c r="G207" s="20">
        <v>1.9589960000000002E-3</v>
      </c>
      <c r="H207" s="21">
        <v>1.2368343E-2</v>
      </c>
      <c r="K207" s="12">
        <f t="shared" si="4"/>
        <v>81.338181817999995</v>
      </c>
    </row>
    <row r="208" spans="6:11" x14ac:dyDescent="0.3">
      <c r="F208" s="20">
        <v>-4.0909090910000003</v>
      </c>
      <c r="G208" s="20">
        <v>1.858766E-3</v>
      </c>
      <c r="H208" s="21">
        <v>1.2368343E-2</v>
      </c>
      <c r="K208" s="12">
        <f t="shared" si="4"/>
        <v>85.429090908999996</v>
      </c>
    </row>
    <row r="209" spans="6:11" x14ac:dyDescent="0.3">
      <c r="F209" s="20">
        <v>0</v>
      </c>
      <c r="G209" s="20">
        <v>1.9993260000000001E-3</v>
      </c>
      <c r="H209" s="21">
        <v>1.2368343E-2</v>
      </c>
      <c r="K209" s="12">
        <f t="shared" si="4"/>
        <v>89.52</v>
      </c>
    </row>
    <row r="210" spans="6:11" x14ac:dyDescent="0.3">
      <c r="F210" s="20">
        <v>4.0909090910000003</v>
      </c>
      <c r="G210" s="20">
        <v>1.8850819999999999E-3</v>
      </c>
      <c r="H210" s="21">
        <v>1.2368343E-2</v>
      </c>
      <c r="K210" s="12">
        <f t="shared" si="4"/>
        <v>86.389090908999989</v>
      </c>
    </row>
    <row r="211" spans="6:11" x14ac:dyDescent="0.3">
      <c r="F211" s="20">
        <v>8.1818181820000007</v>
      </c>
      <c r="G211" s="20">
        <v>1.9152500000000001E-3</v>
      </c>
      <c r="H211" s="21">
        <v>1.2368343E-2</v>
      </c>
      <c r="K211" s="12">
        <f t="shared" si="4"/>
        <v>82.298181818000003</v>
      </c>
    </row>
    <row r="212" spans="6:11" x14ac:dyDescent="0.3">
      <c r="F212" s="20">
        <v>12.272727272999999</v>
      </c>
      <c r="G212" s="20">
        <v>1.8603980000000001E-3</v>
      </c>
      <c r="H212" s="21">
        <v>1.2368343E-2</v>
      </c>
      <c r="K212" s="12">
        <f t="shared" si="4"/>
        <v>78.207272727000017</v>
      </c>
    </row>
    <row r="213" spans="6:11" x14ac:dyDescent="0.3">
      <c r="F213" s="20">
        <v>16.363636364000001</v>
      </c>
      <c r="G213" s="20">
        <v>1.9598509999999999E-3</v>
      </c>
      <c r="H213" s="21">
        <v>1.2368343E-2</v>
      </c>
      <c r="K213" s="12">
        <f t="shared" si="4"/>
        <v>74.116363636000003</v>
      </c>
    </row>
    <row r="214" spans="6:11" x14ac:dyDescent="0.3">
      <c r="F214" s="20">
        <v>20.454545455000002</v>
      </c>
      <c r="G214" s="20">
        <v>2.0819020000000001E-3</v>
      </c>
      <c r="H214" s="21">
        <v>1.2368343E-2</v>
      </c>
      <c r="K214" s="12">
        <f t="shared" si="4"/>
        <v>70.025454544999988</v>
      </c>
    </row>
    <row r="215" spans="6:11" x14ac:dyDescent="0.3">
      <c r="F215" s="20">
        <v>24.545454544999998</v>
      </c>
      <c r="G215" s="20">
        <v>2.0624250000000001E-3</v>
      </c>
      <c r="H215" s="21">
        <v>1.2368343E-2</v>
      </c>
      <c r="K215" s="12">
        <f t="shared" si="4"/>
        <v>65.93454545500002</v>
      </c>
    </row>
    <row r="216" spans="6:11" x14ac:dyDescent="0.3">
      <c r="F216" s="20">
        <v>28.636363635999999</v>
      </c>
      <c r="G216" s="20">
        <v>2.0861450000000002E-3</v>
      </c>
      <c r="H216" s="21">
        <v>1.2368343E-2</v>
      </c>
      <c r="K216" s="12">
        <f t="shared" si="4"/>
        <v>61.843636364000005</v>
      </c>
    </row>
    <row r="217" spans="6:11" x14ac:dyDescent="0.3">
      <c r="F217" s="20">
        <v>32.727272726999999</v>
      </c>
      <c r="G217" s="20">
        <v>2.0572479999999998E-3</v>
      </c>
      <c r="H217" s="21">
        <v>1.2368343E-2</v>
      </c>
      <c r="K217" s="12">
        <f t="shared" si="4"/>
        <v>57.752727272999991</v>
      </c>
    </row>
    <row r="218" spans="6:11" x14ac:dyDescent="0.3">
      <c r="F218" s="20">
        <v>36.818181817999999</v>
      </c>
      <c r="G218" s="20">
        <v>2.2828810000000001E-3</v>
      </c>
      <c r="H218" s="21">
        <v>1.2368343E-2</v>
      </c>
      <c r="K218" s="12">
        <f t="shared" si="4"/>
        <v>53.661818182000005</v>
      </c>
    </row>
    <row r="219" spans="6:11" x14ac:dyDescent="0.3">
      <c r="F219" s="20">
        <v>40.909090909</v>
      </c>
      <c r="G219" s="20">
        <v>2.3280879999999999E-3</v>
      </c>
      <c r="H219" s="21">
        <v>1.2368343E-2</v>
      </c>
      <c r="K219" s="12">
        <f t="shared" si="4"/>
        <v>49.570909091000019</v>
      </c>
    </row>
    <row r="220" spans="6:11" x14ac:dyDescent="0.3">
      <c r="F220" s="20">
        <v>45</v>
      </c>
      <c r="G220" s="20">
        <v>2.4790889999999999E-3</v>
      </c>
      <c r="H220" s="21">
        <v>1.2368343E-2</v>
      </c>
      <c r="K220" s="12">
        <f t="shared" si="4"/>
        <v>45.480000000000004</v>
      </c>
    </row>
    <row r="221" spans="6:11" x14ac:dyDescent="0.3">
      <c r="F221" s="20">
        <v>49.090909091</v>
      </c>
      <c r="G221" s="20">
        <v>2.5562649999999998E-3</v>
      </c>
      <c r="H221" s="21">
        <v>1.2368343E-2</v>
      </c>
      <c r="K221" s="12">
        <f t="shared" si="4"/>
        <v>41.389090908999989</v>
      </c>
    </row>
    <row r="222" spans="6:11" x14ac:dyDescent="0.3">
      <c r="F222" s="20">
        <v>53.181818182000001</v>
      </c>
      <c r="G222" s="20">
        <v>2.979162E-3</v>
      </c>
      <c r="H222" s="21">
        <v>1.2368343E-2</v>
      </c>
      <c r="K222" s="12">
        <f t="shared" si="4"/>
        <v>37.298181818000003</v>
      </c>
    </row>
    <row r="223" spans="6:11" x14ac:dyDescent="0.3">
      <c r="F223" s="20">
        <v>57.272727273000001</v>
      </c>
      <c r="G223" s="20">
        <v>3.6115880000000002E-3</v>
      </c>
      <c r="H223" s="21">
        <v>1.2368343E-2</v>
      </c>
      <c r="K223" s="12">
        <f t="shared" si="4"/>
        <v>33.207272727000003</v>
      </c>
    </row>
    <row r="224" spans="6:11" x14ac:dyDescent="0.3">
      <c r="F224" s="20">
        <v>61.363636364000001</v>
      </c>
      <c r="G224" s="20">
        <v>4.6420410000000004E-3</v>
      </c>
      <c r="H224" s="21">
        <v>1.2368343E-2</v>
      </c>
      <c r="K224" s="12">
        <f t="shared" si="4"/>
        <v>29.116363636000003</v>
      </c>
    </row>
    <row r="225" spans="1:13" x14ac:dyDescent="0.3">
      <c r="F225" s="20">
        <v>65.454545455000002</v>
      </c>
      <c r="G225" s="20">
        <v>5.7511560000000003E-3</v>
      </c>
      <c r="H225" s="21">
        <v>1.2368343E-2</v>
      </c>
      <c r="K225" s="12">
        <f t="shared" si="4"/>
        <v>25.025454545000002</v>
      </c>
    </row>
    <row r="226" spans="1:13" x14ac:dyDescent="0.3">
      <c r="F226" s="20">
        <v>69.545454544999998</v>
      </c>
      <c r="G226" s="20">
        <v>9.0725189999999994E-3</v>
      </c>
      <c r="H226" s="21">
        <v>1.2368343E-2</v>
      </c>
      <c r="K226" s="12">
        <f t="shared" si="4"/>
        <v>20.934545455000006</v>
      </c>
    </row>
    <row r="227" spans="1:13" x14ac:dyDescent="0.3">
      <c r="F227" s="20">
        <v>73.636363635999999</v>
      </c>
      <c r="G227" s="20">
        <v>1.1854243E-2</v>
      </c>
      <c r="H227" s="21">
        <v>1.2368343E-2</v>
      </c>
      <c r="K227" s="12">
        <f t="shared" si="4"/>
        <v>16.843636364000005</v>
      </c>
    </row>
    <row r="228" spans="1:13" x14ac:dyDescent="0.3">
      <c r="F228" s="20">
        <v>77.727272726999999</v>
      </c>
      <c r="G228" s="20">
        <v>2.2692205999999999E-2</v>
      </c>
      <c r="H228" s="21">
        <v>1.2368343E-2</v>
      </c>
      <c r="K228" s="12">
        <f t="shared" si="4"/>
        <v>12.752727273000005</v>
      </c>
    </row>
    <row r="229" spans="1:13" x14ac:dyDescent="0.3">
      <c r="F229" s="20">
        <v>81.818181817999999</v>
      </c>
      <c r="G229" s="20">
        <v>5.1617152999999999E-2</v>
      </c>
      <c r="H229" s="21">
        <v>1.2368343E-2</v>
      </c>
      <c r="K229" s="12">
        <f t="shared" si="4"/>
        <v>8.6618181820000046</v>
      </c>
    </row>
    <row r="230" spans="1:13" x14ac:dyDescent="0.3">
      <c r="F230" s="20">
        <v>85.909090909</v>
      </c>
      <c r="G230" s="20">
        <v>0.12903256399999999</v>
      </c>
      <c r="H230" s="21">
        <v>1.2368343E-2</v>
      </c>
      <c r="K230" s="12">
        <f t="shared" si="4"/>
        <v>4.5709090910000043</v>
      </c>
    </row>
    <row r="231" spans="1:13" s="15" customFormat="1" x14ac:dyDescent="0.3">
      <c r="F231" s="23">
        <v>90</v>
      </c>
      <c r="G231" s="23">
        <v>0.17000690800000001</v>
      </c>
      <c r="H231" s="24">
        <v>1.2368343E-2</v>
      </c>
      <c r="K231" s="12">
        <f t="shared" si="4"/>
        <v>0.48000000000000398</v>
      </c>
    </row>
    <row r="232" spans="1:13" x14ac:dyDescent="0.3">
      <c r="A232" s="9">
        <v>20241115</v>
      </c>
      <c r="B232" s="9">
        <v>-89.65</v>
      </c>
      <c r="C232" s="9">
        <v>5.47</v>
      </c>
      <c r="D232" s="9">
        <v>0.45</v>
      </c>
      <c r="E232" s="9">
        <v>0.53</v>
      </c>
      <c r="F232" s="20">
        <v>-90</v>
      </c>
      <c r="G232" s="20">
        <v>0.20318567800000001</v>
      </c>
      <c r="H232" s="21">
        <v>0.20388356699999999</v>
      </c>
      <c r="K232" s="12">
        <f>MIN(ABS(F232-$B$232), ABS(F232-180-$B$232), ABS(F232+180-$B$232))</f>
        <v>0.34999999999999432</v>
      </c>
      <c r="L232" s="13" cm="1">
        <f t="array" ref="L232">SQRT(SUMPRODUCT(G232:G276,K232:K276*K232:K276))</f>
        <v>19.927312504052022</v>
      </c>
      <c r="M232" s="14" cm="1">
        <f t="array" ref="M232">SUMPRODUCT(G232:G276,ABS(K232:K276))</f>
        <v>9.7563555381499096</v>
      </c>
    </row>
    <row r="233" spans="1:13" x14ac:dyDescent="0.3">
      <c r="F233" s="20">
        <v>-85.909090909</v>
      </c>
      <c r="G233" s="20">
        <v>0.167055178</v>
      </c>
      <c r="H233" s="21">
        <v>0.16443560800000001</v>
      </c>
      <c r="K233" s="12">
        <f t="shared" ref="K233:K276" si="5">MIN(ABS(F233-$B$232), ABS(F233-180-$B$232), ABS(F233+180-$B$232))</f>
        <v>3.740909091000006</v>
      </c>
    </row>
    <row r="234" spans="1:13" x14ac:dyDescent="0.3">
      <c r="F234" s="20">
        <v>-81.818181817999999</v>
      </c>
      <c r="G234" s="20">
        <v>7.5853693E-2</v>
      </c>
      <c r="H234" s="21">
        <v>8.1533869999999994E-2</v>
      </c>
      <c r="K234" s="12">
        <f t="shared" si="5"/>
        <v>7.8318181820000063</v>
      </c>
      <c r="L234">
        <f>C232/L232</f>
        <v>0.27449762725845389</v>
      </c>
    </row>
    <row r="235" spans="1:13" x14ac:dyDescent="0.3">
      <c r="F235" s="20">
        <v>-77.727272726999999</v>
      </c>
      <c r="G235" s="20">
        <v>3.7387849000000001E-2</v>
      </c>
      <c r="H235" s="21">
        <v>3.0501831E-2</v>
      </c>
      <c r="K235" s="12">
        <f t="shared" si="5"/>
        <v>11.922727273000007</v>
      </c>
    </row>
    <row r="236" spans="1:13" x14ac:dyDescent="0.3">
      <c r="F236" s="20">
        <v>-73.636363635999999</v>
      </c>
      <c r="G236" s="20">
        <v>1.6988527999999999E-2</v>
      </c>
      <c r="H236" s="21">
        <v>1.5261693E-2</v>
      </c>
      <c r="K236" s="12">
        <f t="shared" si="5"/>
        <v>16.013636364000007</v>
      </c>
    </row>
    <row r="237" spans="1:13" x14ac:dyDescent="0.3">
      <c r="F237" s="20">
        <v>-69.545454544999998</v>
      </c>
      <c r="G237" s="20">
        <v>1.0680339E-2</v>
      </c>
      <c r="H237" s="21">
        <v>1.2829429E-2</v>
      </c>
      <c r="K237" s="12">
        <f t="shared" si="5"/>
        <v>20.104545455000007</v>
      </c>
    </row>
    <row r="238" spans="1:13" x14ac:dyDescent="0.3">
      <c r="F238" s="20">
        <v>-65.454545455000002</v>
      </c>
      <c r="G238" s="20">
        <v>7.4809680000000002E-3</v>
      </c>
      <c r="H238" s="21">
        <v>1.2614627E-2</v>
      </c>
      <c r="K238" s="12">
        <f t="shared" si="5"/>
        <v>24.195454545000004</v>
      </c>
    </row>
    <row r="239" spans="1:13" x14ac:dyDescent="0.3">
      <c r="F239" s="20">
        <v>-61.363636364000001</v>
      </c>
      <c r="G239" s="20">
        <v>6.3212620000000002E-3</v>
      </c>
      <c r="H239" s="21">
        <v>1.2603964E-2</v>
      </c>
      <c r="K239" s="12">
        <f t="shared" si="5"/>
        <v>28.286363636000004</v>
      </c>
    </row>
    <row r="240" spans="1:13" x14ac:dyDescent="0.3">
      <c r="F240" s="20">
        <v>-57.272727273000001</v>
      </c>
      <c r="G240" s="20">
        <v>5.4199699999999996E-3</v>
      </c>
      <c r="H240" s="21">
        <v>1.2603664000000001E-2</v>
      </c>
      <c r="K240" s="12">
        <f t="shared" si="5"/>
        <v>32.377272727000005</v>
      </c>
    </row>
    <row r="241" spans="6:11" x14ac:dyDescent="0.3">
      <c r="F241" s="20">
        <v>-53.181818182000001</v>
      </c>
      <c r="G241" s="20">
        <v>4.706277E-3</v>
      </c>
      <c r="H241" s="21">
        <v>1.2603659999999999E-2</v>
      </c>
      <c r="K241" s="12">
        <f t="shared" si="5"/>
        <v>36.468181818000005</v>
      </c>
    </row>
    <row r="242" spans="6:11" x14ac:dyDescent="0.3">
      <c r="F242" s="20">
        <v>-49.090909091</v>
      </c>
      <c r="G242" s="20">
        <v>3.9252109999999996E-3</v>
      </c>
      <c r="H242" s="21">
        <v>1.2603659999999999E-2</v>
      </c>
      <c r="K242" s="12">
        <f t="shared" si="5"/>
        <v>40.559090909000005</v>
      </c>
    </row>
    <row r="243" spans="6:11" x14ac:dyDescent="0.3">
      <c r="F243" s="20">
        <v>-45</v>
      </c>
      <c r="G243" s="20">
        <v>4.0488319999999996E-3</v>
      </c>
      <c r="H243" s="21">
        <v>1.2603659999999999E-2</v>
      </c>
      <c r="K243" s="12">
        <f t="shared" si="5"/>
        <v>44.650000000000006</v>
      </c>
    </row>
    <row r="244" spans="6:11" x14ac:dyDescent="0.3">
      <c r="F244" s="20">
        <v>-40.909090909</v>
      </c>
      <c r="G244" s="20">
        <v>3.2685029999999999E-3</v>
      </c>
      <c r="H244" s="21">
        <v>1.2603659999999999E-2</v>
      </c>
      <c r="K244" s="12">
        <f t="shared" si="5"/>
        <v>48.740909091000006</v>
      </c>
    </row>
    <row r="245" spans="6:11" x14ac:dyDescent="0.3">
      <c r="F245" s="20">
        <v>-36.818181817999999</v>
      </c>
      <c r="G245" s="20">
        <v>3.5886640000000001E-3</v>
      </c>
      <c r="H245" s="21">
        <v>1.2603659999999999E-2</v>
      </c>
      <c r="K245" s="12">
        <f t="shared" si="5"/>
        <v>52.831818182000006</v>
      </c>
    </row>
    <row r="246" spans="6:11" x14ac:dyDescent="0.3">
      <c r="F246" s="20">
        <v>-32.727272726999999</v>
      </c>
      <c r="G246" s="20">
        <v>3.0988460000000002E-3</v>
      </c>
      <c r="H246" s="21">
        <v>1.2603659999999999E-2</v>
      </c>
      <c r="K246" s="12">
        <f t="shared" si="5"/>
        <v>56.922727273000007</v>
      </c>
    </row>
    <row r="247" spans="6:11" x14ac:dyDescent="0.3">
      <c r="F247" s="20">
        <v>-28.636363635999999</v>
      </c>
      <c r="G247" s="20">
        <v>3.0582600000000001E-3</v>
      </c>
      <c r="H247" s="21">
        <v>1.2603659999999999E-2</v>
      </c>
      <c r="K247" s="12">
        <f t="shared" si="5"/>
        <v>61.013636364000007</v>
      </c>
    </row>
    <row r="248" spans="6:11" x14ac:dyDescent="0.3">
      <c r="F248" s="20">
        <v>-24.545454544999998</v>
      </c>
      <c r="G248" s="20">
        <v>2.949475E-3</v>
      </c>
      <c r="H248" s="21">
        <v>1.2603659999999999E-2</v>
      </c>
      <c r="K248" s="12">
        <f t="shared" si="5"/>
        <v>65.104545455000007</v>
      </c>
    </row>
    <row r="249" spans="6:11" x14ac:dyDescent="0.3">
      <c r="F249" s="20">
        <v>-20.454545455000002</v>
      </c>
      <c r="G249" s="20">
        <v>2.7995339999999998E-3</v>
      </c>
      <c r="H249" s="21">
        <v>1.2603659999999999E-2</v>
      </c>
      <c r="K249" s="12">
        <f t="shared" si="5"/>
        <v>69.195454545000004</v>
      </c>
    </row>
    <row r="250" spans="6:11" x14ac:dyDescent="0.3">
      <c r="F250" s="20">
        <v>-16.363636364000001</v>
      </c>
      <c r="G250" s="20">
        <v>2.7188849999999999E-3</v>
      </c>
      <c r="H250" s="21">
        <v>1.2603659999999999E-2</v>
      </c>
      <c r="K250" s="12">
        <f t="shared" si="5"/>
        <v>73.286363636000004</v>
      </c>
    </row>
    <row r="251" spans="6:11" x14ac:dyDescent="0.3">
      <c r="F251" s="20">
        <v>-12.272727272999999</v>
      </c>
      <c r="G251" s="20">
        <v>2.8221460000000002E-3</v>
      </c>
      <c r="H251" s="21">
        <v>1.2603659999999999E-2</v>
      </c>
      <c r="K251" s="12">
        <f t="shared" si="5"/>
        <v>77.377272727000005</v>
      </c>
    </row>
    <row r="252" spans="6:11" x14ac:dyDescent="0.3">
      <c r="F252" s="20">
        <v>-8.1818181820000007</v>
      </c>
      <c r="G252" s="20">
        <v>2.8026330000000001E-3</v>
      </c>
      <c r="H252" s="21">
        <v>1.2603659999999999E-2</v>
      </c>
      <c r="K252" s="12">
        <f t="shared" si="5"/>
        <v>81.468181818000005</v>
      </c>
    </row>
    <row r="253" spans="6:11" x14ac:dyDescent="0.3">
      <c r="F253" s="20">
        <v>-4.0909090910000003</v>
      </c>
      <c r="G253" s="20">
        <v>2.5782489999999999E-3</v>
      </c>
      <c r="H253" s="21">
        <v>1.2603659999999999E-2</v>
      </c>
      <c r="K253" s="12">
        <f t="shared" si="5"/>
        <v>85.559090909000005</v>
      </c>
    </row>
    <row r="254" spans="6:11" x14ac:dyDescent="0.3">
      <c r="F254" s="20">
        <v>0</v>
      </c>
      <c r="G254" s="20">
        <v>3.206034E-3</v>
      </c>
      <c r="H254" s="21">
        <v>1.2603659999999999E-2</v>
      </c>
      <c r="K254" s="12">
        <f t="shared" si="5"/>
        <v>89.65</v>
      </c>
    </row>
    <row r="255" spans="6:11" x14ac:dyDescent="0.3">
      <c r="F255" s="20">
        <v>4.0909090910000003</v>
      </c>
      <c r="G255" s="20">
        <v>2.6328189999999998E-3</v>
      </c>
      <c r="H255" s="21">
        <v>1.2603659999999999E-2</v>
      </c>
      <c r="K255" s="12">
        <f t="shared" si="5"/>
        <v>86.25909090899998</v>
      </c>
    </row>
    <row r="256" spans="6:11" x14ac:dyDescent="0.3">
      <c r="F256" s="20">
        <v>8.1818181820000007</v>
      </c>
      <c r="G256" s="20">
        <v>2.586554E-3</v>
      </c>
      <c r="H256" s="21">
        <v>1.2603659999999999E-2</v>
      </c>
      <c r="K256" s="12">
        <f t="shared" si="5"/>
        <v>82.168181817999994</v>
      </c>
    </row>
    <row r="257" spans="6:11" x14ac:dyDescent="0.3">
      <c r="F257" s="20">
        <v>12.272727272999999</v>
      </c>
      <c r="G257" s="20">
        <v>2.706324E-3</v>
      </c>
      <c r="H257" s="21">
        <v>1.2603659999999999E-2</v>
      </c>
      <c r="K257" s="12">
        <f t="shared" si="5"/>
        <v>78.077272727000008</v>
      </c>
    </row>
    <row r="258" spans="6:11" x14ac:dyDescent="0.3">
      <c r="F258" s="20">
        <v>16.363636364000001</v>
      </c>
      <c r="G258" s="20">
        <v>2.7137530000000002E-3</v>
      </c>
      <c r="H258" s="21">
        <v>1.2603659999999999E-2</v>
      </c>
      <c r="K258" s="12">
        <f t="shared" si="5"/>
        <v>73.986363635999993</v>
      </c>
    </row>
    <row r="259" spans="6:11" x14ac:dyDescent="0.3">
      <c r="F259" s="20">
        <v>20.454545455000002</v>
      </c>
      <c r="G259" s="20">
        <v>2.8053140000000002E-3</v>
      </c>
      <c r="H259" s="21">
        <v>1.2603659999999999E-2</v>
      </c>
      <c r="K259" s="12">
        <f t="shared" si="5"/>
        <v>69.895454544999978</v>
      </c>
    </row>
    <row r="260" spans="6:11" x14ac:dyDescent="0.3">
      <c r="F260" s="20">
        <v>24.545454544999998</v>
      </c>
      <c r="G260" s="20">
        <v>2.8110029999999999E-3</v>
      </c>
      <c r="H260" s="21">
        <v>1.2603659999999999E-2</v>
      </c>
      <c r="K260" s="12">
        <f t="shared" si="5"/>
        <v>65.80454545500001</v>
      </c>
    </row>
    <row r="261" spans="6:11" x14ac:dyDescent="0.3">
      <c r="F261" s="20">
        <v>28.636363635999999</v>
      </c>
      <c r="G261" s="20">
        <v>3.031396E-3</v>
      </c>
      <c r="H261" s="21">
        <v>1.2603659999999999E-2</v>
      </c>
      <c r="K261" s="12">
        <f t="shared" si="5"/>
        <v>61.713636363999996</v>
      </c>
    </row>
    <row r="262" spans="6:11" x14ac:dyDescent="0.3">
      <c r="F262" s="20">
        <v>32.727272726999999</v>
      </c>
      <c r="G262" s="20">
        <v>3.1275859999999999E-3</v>
      </c>
      <c r="H262" s="21">
        <v>1.2603659999999999E-2</v>
      </c>
      <c r="K262" s="12">
        <f t="shared" si="5"/>
        <v>57.622727272999981</v>
      </c>
    </row>
    <row r="263" spans="6:11" x14ac:dyDescent="0.3">
      <c r="F263" s="20">
        <v>36.818181817999999</v>
      </c>
      <c r="G263" s="20">
        <v>3.474076E-3</v>
      </c>
      <c r="H263" s="21">
        <v>1.2603659999999999E-2</v>
      </c>
      <c r="K263" s="12">
        <f t="shared" si="5"/>
        <v>53.531818181999995</v>
      </c>
    </row>
    <row r="264" spans="6:11" x14ac:dyDescent="0.3">
      <c r="F264" s="20">
        <v>40.909090909</v>
      </c>
      <c r="G264" s="20">
        <v>3.1892629999999999E-3</v>
      </c>
      <c r="H264" s="21">
        <v>1.2603659999999999E-2</v>
      </c>
      <c r="K264" s="12">
        <f t="shared" si="5"/>
        <v>49.440909091000009</v>
      </c>
    </row>
    <row r="265" spans="6:11" x14ac:dyDescent="0.3">
      <c r="F265" s="20">
        <v>45</v>
      </c>
      <c r="G265" s="20">
        <v>3.3648689999999999E-3</v>
      </c>
      <c r="H265" s="21">
        <v>1.2603659999999999E-2</v>
      </c>
      <c r="K265" s="12">
        <f t="shared" si="5"/>
        <v>45.349999999999994</v>
      </c>
    </row>
    <row r="266" spans="6:11" x14ac:dyDescent="0.3">
      <c r="F266" s="20">
        <v>49.090909091</v>
      </c>
      <c r="G266" s="20">
        <v>3.6984589999999999E-3</v>
      </c>
      <c r="H266" s="21">
        <v>1.2603659999999999E-2</v>
      </c>
      <c r="K266" s="12">
        <f t="shared" si="5"/>
        <v>41.25909090899998</v>
      </c>
    </row>
    <row r="267" spans="6:11" x14ac:dyDescent="0.3">
      <c r="F267" s="20">
        <v>53.181818182000001</v>
      </c>
      <c r="G267" s="20">
        <v>4.3846170000000004E-3</v>
      </c>
      <c r="H267" s="21">
        <v>1.2603659999999999E-2</v>
      </c>
      <c r="K267" s="12">
        <f t="shared" si="5"/>
        <v>37.168181817999994</v>
      </c>
    </row>
    <row r="268" spans="6:11" x14ac:dyDescent="0.3">
      <c r="F268" s="20">
        <v>57.272727273000001</v>
      </c>
      <c r="G268" s="20">
        <v>4.6755629999999998E-3</v>
      </c>
      <c r="H268" s="21">
        <v>1.2603659999999999E-2</v>
      </c>
      <c r="K268" s="12">
        <f t="shared" si="5"/>
        <v>33.077272726999993</v>
      </c>
    </row>
    <row r="269" spans="6:11" x14ac:dyDescent="0.3">
      <c r="F269" s="20">
        <v>61.363636364000001</v>
      </c>
      <c r="G269" s="20">
        <v>5.1467630000000004E-3</v>
      </c>
      <c r="H269" s="21">
        <v>1.2603659999999999E-2</v>
      </c>
      <c r="K269" s="12">
        <f t="shared" si="5"/>
        <v>28.986363635999993</v>
      </c>
    </row>
    <row r="270" spans="6:11" x14ac:dyDescent="0.3">
      <c r="F270" s="20">
        <v>65.454545455000002</v>
      </c>
      <c r="G270" s="20">
        <v>5.7710130000000002E-3</v>
      </c>
      <c r="H270" s="21">
        <v>1.2603659999999999E-2</v>
      </c>
      <c r="K270" s="12">
        <f t="shared" si="5"/>
        <v>24.895454544999993</v>
      </c>
    </row>
    <row r="271" spans="6:11" x14ac:dyDescent="0.3">
      <c r="F271" s="20">
        <v>69.545454544999998</v>
      </c>
      <c r="G271" s="20">
        <v>8.1721550000000004E-3</v>
      </c>
      <c r="H271" s="21">
        <v>1.2603659999999999E-2</v>
      </c>
      <c r="K271" s="12">
        <f t="shared" si="5"/>
        <v>20.804545454999996</v>
      </c>
    </row>
    <row r="272" spans="6:11" x14ac:dyDescent="0.3">
      <c r="F272" s="20">
        <v>73.636363635999999</v>
      </c>
      <c r="G272" s="20">
        <v>1.0913858E-2</v>
      </c>
      <c r="H272" s="21">
        <v>1.2603659999999999E-2</v>
      </c>
      <c r="K272" s="12">
        <f t="shared" si="5"/>
        <v>16.713636363999996</v>
      </c>
    </row>
    <row r="273" spans="1:13" x14ac:dyDescent="0.3">
      <c r="F273" s="20">
        <v>77.727272726999999</v>
      </c>
      <c r="G273" s="20">
        <v>1.8889646999999999E-2</v>
      </c>
      <c r="H273" s="21">
        <v>1.2603659999999999E-2</v>
      </c>
      <c r="K273" s="12">
        <f t="shared" si="5"/>
        <v>12.622727272999995</v>
      </c>
    </row>
    <row r="274" spans="1:13" x14ac:dyDescent="0.3">
      <c r="F274" s="20">
        <v>81.818181817999999</v>
      </c>
      <c r="G274" s="20">
        <v>3.6864400999999998E-2</v>
      </c>
      <c r="H274" s="21">
        <v>1.2603659999999999E-2</v>
      </c>
      <c r="K274" s="12">
        <f t="shared" si="5"/>
        <v>8.531818181999995</v>
      </c>
    </row>
    <row r="275" spans="1:13" x14ac:dyDescent="0.3">
      <c r="F275" s="20">
        <v>85.909090909</v>
      </c>
      <c r="G275" s="20">
        <v>8.9909874000000001E-2</v>
      </c>
      <c r="H275" s="21">
        <v>1.2603659999999999E-2</v>
      </c>
      <c r="K275" s="12">
        <f t="shared" si="5"/>
        <v>4.4409090909999946</v>
      </c>
    </row>
    <row r="276" spans="1:13" s="15" customFormat="1" x14ac:dyDescent="0.3">
      <c r="F276" s="23">
        <v>90</v>
      </c>
      <c r="G276" s="23">
        <v>0.20318567800000001</v>
      </c>
      <c r="H276" s="24">
        <v>1.2603659999999999E-2</v>
      </c>
      <c r="K276" s="12">
        <f t="shared" si="5"/>
        <v>0.34999999999999432</v>
      </c>
    </row>
    <row r="277" spans="1:13" x14ac:dyDescent="0.3">
      <c r="A277" s="9">
        <v>20241115</v>
      </c>
      <c r="B277" s="9">
        <v>-86.09</v>
      </c>
      <c r="C277" s="9">
        <v>6.76</v>
      </c>
      <c r="D277" s="9">
        <v>0.56999999999999995</v>
      </c>
      <c r="E277" s="9">
        <v>0.68</v>
      </c>
      <c r="F277" s="20">
        <v>-90</v>
      </c>
      <c r="G277" s="20">
        <v>0.14957372299999999</v>
      </c>
      <c r="H277" s="21">
        <v>0.144367251</v>
      </c>
      <c r="K277" s="12">
        <f>MIN(ABS(F277-$B$277), ABS(F277-180-$B$277), ABS(F277+180-$B$277))</f>
        <v>3.9099999999999966</v>
      </c>
      <c r="L277" s="13" cm="1">
        <f t="array" ref="L277">SQRT(SUMPRODUCT(G277:G321,K277:K321*K277:K321))</f>
        <v>19.416642277721689</v>
      </c>
      <c r="M277" s="14" cm="1">
        <f t="array" ref="M277">SUMPRODUCT(G277:G321,ABS(K277:K321))</f>
        <v>10.743387341818465</v>
      </c>
    </row>
    <row r="278" spans="1:13" x14ac:dyDescent="0.3">
      <c r="F278" s="20">
        <v>-85.909090909</v>
      </c>
      <c r="G278" s="20">
        <v>0.15604369900000001</v>
      </c>
      <c r="H278" s="21">
        <v>0.16865306099999999</v>
      </c>
      <c r="K278" s="12">
        <f t="shared" ref="K278:K321" si="6">MIN(ABS(F278-$B$277), ABS(F278-180-$B$277), ABS(F278+180-$B$277))</f>
        <v>0.18090909100000374</v>
      </c>
    </row>
    <row r="279" spans="1:13" x14ac:dyDescent="0.3">
      <c r="F279" s="20">
        <v>-81.818181817999999</v>
      </c>
      <c r="G279" s="20">
        <v>0.153916727</v>
      </c>
      <c r="H279" s="21">
        <v>0.140044171</v>
      </c>
      <c r="K279" s="12">
        <f t="shared" si="6"/>
        <v>4.2718181820000041</v>
      </c>
    </row>
    <row r="280" spans="1:13" x14ac:dyDescent="0.3">
      <c r="F280" s="20">
        <v>-77.727272726999999</v>
      </c>
      <c r="G280" s="20">
        <v>7.8668158000000002E-2</v>
      </c>
      <c r="H280" s="21">
        <v>8.4047132999999996E-2</v>
      </c>
      <c r="K280" s="12">
        <f t="shared" si="6"/>
        <v>8.3627272730000044</v>
      </c>
      <c r="L280">
        <f>C277/L277</f>
        <v>0.34815494374927553</v>
      </c>
    </row>
    <row r="281" spans="1:13" x14ac:dyDescent="0.3">
      <c r="F281" s="20">
        <v>-73.636363635999999</v>
      </c>
      <c r="G281" s="20">
        <v>3.5612153000000001E-2</v>
      </c>
      <c r="H281" s="21">
        <v>3.9394257000000002E-2</v>
      </c>
      <c r="K281" s="12">
        <f t="shared" si="6"/>
        <v>12.453636364000005</v>
      </c>
    </row>
    <row r="282" spans="1:13" x14ac:dyDescent="0.3">
      <c r="F282" s="20">
        <v>-69.545454544999998</v>
      </c>
      <c r="G282" s="20">
        <v>1.9008832999999999E-2</v>
      </c>
      <c r="H282" s="21">
        <v>1.8286825E-2</v>
      </c>
      <c r="K282" s="12">
        <f t="shared" si="6"/>
        <v>16.544545455000005</v>
      </c>
    </row>
    <row r="283" spans="1:13" x14ac:dyDescent="0.3">
      <c r="F283" s="20">
        <v>-65.454545455000002</v>
      </c>
      <c r="G283" s="20">
        <v>1.1985121E-2</v>
      </c>
      <c r="H283" s="21">
        <v>1.1851463E-2</v>
      </c>
      <c r="K283" s="12">
        <f t="shared" si="6"/>
        <v>20.635454545000002</v>
      </c>
    </row>
    <row r="284" spans="1:13" x14ac:dyDescent="0.3">
      <c r="F284" s="20">
        <v>-61.363636364000001</v>
      </c>
      <c r="G284" s="20">
        <v>8.3910570000000004E-3</v>
      </c>
      <c r="H284" s="21">
        <v>1.0543772999999999E-2</v>
      </c>
      <c r="K284" s="12">
        <f t="shared" si="6"/>
        <v>24.726363636000002</v>
      </c>
    </row>
    <row r="285" spans="1:13" x14ac:dyDescent="0.3">
      <c r="F285" s="20">
        <v>-57.272727273000001</v>
      </c>
      <c r="G285" s="20">
        <v>6.2912749999999998E-3</v>
      </c>
      <c r="H285" s="21">
        <v>1.0363815E-2</v>
      </c>
      <c r="K285" s="12">
        <f t="shared" si="6"/>
        <v>28.817272727000002</v>
      </c>
    </row>
    <row r="286" spans="1:13" x14ac:dyDescent="0.3">
      <c r="F286" s="20">
        <v>-53.181818182000001</v>
      </c>
      <c r="G286" s="20">
        <v>5.2460240000000002E-3</v>
      </c>
      <c r="H286" s="21">
        <v>1.0346894000000001E-2</v>
      </c>
      <c r="K286" s="12">
        <f t="shared" si="6"/>
        <v>32.908181818000003</v>
      </c>
    </row>
    <row r="287" spans="1:13" x14ac:dyDescent="0.3">
      <c r="F287" s="20">
        <v>-49.090909091</v>
      </c>
      <c r="G287" s="20">
        <v>4.5513560000000003E-3</v>
      </c>
      <c r="H287" s="21">
        <v>1.0345801999999999E-2</v>
      </c>
      <c r="K287" s="12">
        <f t="shared" si="6"/>
        <v>36.999090909000003</v>
      </c>
    </row>
    <row r="288" spans="1:13" x14ac:dyDescent="0.3">
      <c r="F288" s="20">
        <v>-45</v>
      </c>
      <c r="G288" s="20">
        <v>4.1908029999999999E-3</v>
      </c>
      <c r="H288" s="21">
        <v>1.0345752999999999E-2</v>
      </c>
      <c r="K288" s="12">
        <f t="shared" si="6"/>
        <v>41.09</v>
      </c>
    </row>
    <row r="289" spans="6:11" x14ac:dyDescent="0.3">
      <c r="F289" s="20">
        <v>-40.909090909</v>
      </c>
      <c r="G289" s="20">
        <v>3.3747809999999999E-3</v>
      </c>
      <c r="H289" s="21">
        <v>1.0345752E-2</v>
      </c>
      <c r="K289" s="12">
        <f t="shared" si="6"/>
        <v>45.180909091000004</v>
      </c>
    </row>
    <row r="290" spans="6:11" x14ac:dyDescent="0.3">
      <c r="F290" s="20">
        <v>-36.818181817999999</v>
      </c>
      <c r="G290" s="20">
        <v>3.5410900000000002E-3</v>
      </c>
      <c r="H290" s="21">
        <v>1.0345752E-2</v>
      </c>
      <c r="K290" s="12">
        <f t="shared" si="6"/>
        <v>49.271818182000004</v>
      </c>
    </row>
    <row r="291" spans="6:11" x14ac:dyDescent="0.3">
      <c r="F291" s="20">
        <v>-32.727272726999999</v>
      </c>
      <c r="G291" s="20">
        <v>3.0008869999999998E-3</v>
      </c>
      <c r="H291" s="21">
        <v>1.0345752E-2</v>
      </c>
      <c r="K291" s="12">
        <f t="shared" si="6"/>
        <v>53.362727273000004</v>
      </c>
    </row>
    <row r="292" spans="6:11" x14ac:dyDescent="0.3">
      <c r="F292" s="20">
        <v>-28.636363635999999</v>
      </c>
      <c r="G292" s="20">
        <v>2.8722019999999999E-3</v>
      </c>
      <c r="H292" s="21">
        <v>1.0345752E-2</v>
      </c>
      <c r="K292" s="12">
        <f t="shared" si="6"/>
        <v>57.453636364000005</v>
      </c>
    </row>
    <row r="293" spans="6:11" x14ac:dyDescent="0.3">
      <c r="F293" s="20">
        <v>-24.545454544999998</v>
      </c>
      <c r="G293" s="20">
        <v>2.5701109999999999E-3</v>
      </c>
      <c r="H293" s="21">
        <v>1.0345752E-2</v>
      </c>
      <c r="K293" s="12">
        <f t="shared" si="6"/>
        <v>61.544545455000005</v>
      </c>
    </row>
    <row r="294" spans="6:11" x14ac:dyDescent="0.3">
      <c r="F294" s="20">
        <v>-20.454545455000002</v>
      </c>
      <c r="G294" s="20">
        <v>2.5331590000000001E-3</v>
      </c>
      <c r="H294" s="21">
        <v>1.0345752E-2</v>
      </c>
      <c r="K294" s="12">
        <f t="shared" si="6"/>
        <v>65.635454545000002</v>
      </c>
    </row>
    <row r="295" spans="6:11" x14ac:dyDescent="0.3">
      <c r="F295" s="20">
        <v>-16.363636364000001</v>
      </c>
      <c r="G295" s="20">
        <v>2.5855240000000001E-3</v>
      </c>
      <c r="H295" s="21">
        <v>1.0345752E-2</v>
      </c>
      <c r="K295" s="12">
        <f t="shared" si="6"/>
        <v>69.726363636000002</v>
      </c>
    </row>
    <row r="296" spans="6:11" x14ac:dyDescent="0.3">
      <c r="F296" s="20">
        <v>-12.272727272999999</v>
      </c>
      <c r="G296" s="20">
        <v>2.5981559999999999E-3</v>
      </c>
      <c r="H296" s="21">
        <v>1.0345752E-2</v>
      </c>
      <c r="K296" s="12">
        <f t="shared" si="6"/>
        <v>73.817272727000002</v>
      </c>
    </row>
    <row r="297" spans="6:11" x14ac:dyDescent="0.3">
      <c r="F297" s="20">
        <v>-8.1818181820000007</v>
      </c>
      <c r="G297" s="20">
        <v>2.5565219999999999E-3</v>
      </c>
      <c r="H297" s="21">
        <v>1.0345752E-2</v>
      </c>
      <c r="K297" s="12">
        <f t="shared" si="6"/>
        <v>77.908181818000003</v>
      </c>
    </row>
    <row r="298" spans="6:11" x14ac:dyDescent="0.3">
      <c r="F298" s="20">
        <v>-4.0909090910000003</v>
      </c>
      <c r="G298" s="20">
        <v>2.4495210000000001E-3</v>
      </c>
      <c r="H298" s="21">
        <v>1.0345752E-2</v>
      </c>
      <c r="K298" s="12">
        <f t="shared" si="6"/>
        <v>81.999090909000003</v>
      </c>
    </row>
    <row r="299" spans="6:11" x14ac:dyDescent="0.3">
      <c r="F299" s="20">
        <v>0</v>
      </c>
      <c r="G299" s="20">
        <v>2.7329440000000002E-3</v>
      </c>
      <c r="H299" s="21">
        <v>1.0345752E-2</v>
      </c>
      <c r="K299" s="12">
        <f t="shared" si="6"/>
        <v>86.09</v>
      </c>
    </row>
    <row r="300" spans="6:11" x14ac:dyDescent="0.3">
      <c r="F300" s="20">
        <v>4.0909090910000003</v>
      </c>
      <c r="G300" s="20">
        <v>2.3331390000000001E-3</v>
      </c>
      <c r="H300" s="21">
        <v>1.0345752E-2</v>
      </c>
      <c r="K300" s="12">
        <f t="shared" si="6"/>
        <v>89.819090908999982</v>
      </c>
    </row>
    <row r="301" spans="6:11" x14ac:dyDescent="0.3">
      <c r="F301" s="20">
        <v>8.1818181820000007</v>
      </c>
      <c r="G301" s="20">
        <v>2.5640210000000001E-3</v>
      </c>
      <c r="H301" s="21">
        <v>1.0345752E-2</v>
      </c>
      <c r="K301" s="12">
        <f t="shared" si="6"/>
        <v>85.728181817999996</v>
      </c>
    </row>
    <row r="302" spans="6:11" x14ac:dyDescent="0.3">
      <c r="F302" s="20">
        <v>12.272727272999999</v>
      </c>
      <c r="G302" s="20">
        <v>2.265183E-3</v>
      </c>
      <c r="H302" s="21">
        <v>1.0345752E-2</v>
      </c>
      <c r="K302" s="12">
        <f t="shared" si="6"/>
        <v>81.63727272700001</v>
      </c>
    </row>
    <row r="303" spans="6:11" x14ac:dyDescent="0.3">
      <c r="F303" s="20">
        <v>16.363636364000001</v>
      </c>
      <c r="G303" s="20">
        <v>2.3749050000000001E-3</v>
      </c>
      <c r="H303" s="21">
        <v>1.0345752E-2</v>
      </c>
      <c r="K303" s="12">
        <f t="shared" si="6"/>
        <v>77.546363635999995</v>
      </c>
    </row>
    <row r="304" spans="6:11" x14ac:dyDescent="0.3">
      <c r="F304" s="20">
        <v>20.454545455000002</v>
      </c>
      <c r="G304" s="20">
        <v>2.2757210000000001E-3</v>
      </c>
      <c r="H304" s="21">
        <v>1.0345752E-2</v>
      </c>
      <c r="K304" s="12">
        <f t="shared" si="6"/>
        <v>73.455454544999981</v>
      </c>
    </row>
    <row r="305" spans="6:11" x14ac:dyDescent="0.3">
      <c r="F305" s="20">
        <v>24.545454544999998</v>
      </c>
      <c r="G305" s="20">
        <v>2.3479120000000002E-3</v>
      </c>
      <c r="H305" s="21">
        <v>1.0345752E-2</v>
      </c>
      <c r="K305" s="12">
        <f t="shared" si="6"/>
        <v>69.364545455000012</v>
      </c>
    </row>
    <row r="306" spans="6:11" x14ac:dyDescent="0.3">
      <c r="F306" s="20">
        <v>28.636363635999999</v>
      </c>
      <c r="G306" s="20">
        <v>2.501306E-3</v>
      </c>
      <c r="H306" s="21">
        <v>1.0345752E-2</v>
      </c>
      <c r="K306" s="12">
        <f t="shared" si="6"/>
        <v>65.273636363999998</v>
      </c>
    </row>
    <row r="307" spans="6:11" x14ac:dyDescent="0.3">
      <c r="F307" s="20">
        <v>32.727272726999999</v>
      </c>
      <c r="G307" s="20">
        <v>2.477992E-3</v>
      </c>
      <c r="H307" s="21">
        <v>1.0345752E-2</v>
      </c>
      <c r="K307" s="12">
        <f t="shared" si="6"/>
        <v>61.182727272999983</v>
      </c>
    </row>
    <row r="308" spans="6:11" x14ac:dyDescent="0.3">
      <c r="F308" s="20">
        <v>36.818181817999999</v>
      </c>
      <c r="G308" s="20">
        <v>2.725267E-3</v>
      </c>
      <c r="H308" s="21">
        <v>1.0345752E-2</v>
      </c>
      <c r="K308" s="12">
        <f t="shared" si="6"/>
        <v>57.091818181999997</v>
      </c>
    </row>
    <row r="309" spans="6:11" x14ac:dyDescent="0.3">
      <c r="F309" s="20">
        <v>40.909090909</v>
      </c>
      <c r="G309" s="20">
        <v>2.5880830000000001E-3</v>
      </c>
      <c r="H309" s="21">
        <v>1.0345752E-2</v>
      </c>
      <c r="K309" s="12">
        <f t="shared" si="6"/>
        <v>53.000909091000011</v>
      </c>
    </row>
    <row r="310" spans="6:11" x14ac:dyDescent="0.3">
      <c r="F310" s="20">
        <v>45</v>
      </c>
      <c r="G310" s="20">
        <v>3.0472279999999999E-3</v>
      </c>
      <c r="H310" s="21">
        <v>1.0345752E-2</v>
      </c>
      <c r="K310" s="12">
        <f t="shared" si="6"/>
        <v>48.91</v>
      </c>
    </row>
    <row r="311" spans="6:11" x14ac:dyDescent="0.3">
      <c r="F311" s="20">
        <v>49.090909091</v>
      </c>
      <c r="G311" s="20">
        <v>3.1402370000000001E-3</v>
      </c>
      <c r="H311" s="21">
        <v>1.0345752E-2</v>
      </c>
      <c r="K311" s="12">
        <f t="shared" si="6"/>
        <v>44.819090908999982</v>
      </c>
    </row>
    <row r="312" spans="6:11" x14ac:dyDescent="0.3">
      <c r="F312" s="20">
        <v>53.181818182000001</v>
      </c>
      <c r="G312" s="20">
        <v>3.5126799999999998E-3</v>
      </c>
      <c r="H312" s="21">
        <v>1.0345752E-2</v>
      </c>
      <c r="K312" s="12">
        <f t="shared" si="6"/>
        <v>40.728181817999996</v>
      </c>
    </row>
    <row r="313" spans="6:11" x14ac:dyDescent="0.3">
      <c r="F313" s="20">
        <v>57.272727273000001</v>
      </c>
      <c r="G313" s="20">
        <v>4.0658379999999996E-3</v>
      </c>
      <c r="H313" s="21">
        <v>1.0345752E-2</v>
      </c>
      <c r="K313" s="12">
        <f t="shared" si="6"/>
        <v>36.637272726999996</v>
      </c>
    </row>
    <row r="314" spans="6:11" x14ac:dyDescent="0.3">
      <c r="F314" s="20">
        <v>61.363636364000001</v>
      </c>
      <c r="G314" s="20">
        <v>4.7235699999999999E-3</v>
      </c>
      <c r="H314" s="21">
        <v>1.0345752E-2</v>
      </c>
      <c r="K314" s="12">
        <f t="shared" si="6"/>
        <v>32.546363635999995</v>
      </c>
    </row>
    <row r="315" spans="6:11" x14ac:dyDescent="0.3">
      <c r="F315" s="20">
        <v>65.454545455000002</v>
      </c>
      <c r="G315" s="20">
        <v>5.7011320000000002E-3</v>
      </c>
      <c r="H315" s="21">
        <v>1.0345752E-2</v>
      </c>
      <c r="K315" s="12">
        <f t="shared" si="6"/>
        <v>28.455454544999995</v>
      </c>
    </row>
    <row r="316" spans="6:11" x14ac:dyDescent="0.3">
      <c r="F316" s="20">
        <v>69.545454544999998</v>
      </c>
      <c r="G316" s="20">
        <v>8.3938720000000001E-3</v>
      </c>
      <c r="H316" s="21">
        <v>1.0345752E-2</v>
      </c>
      <c r="K316" s="12">
        <f t="shared" si="6"/>
        <v>24.364545454999998</v>
      </c>
    </row>
    <row r="317" spans="6:11" x14ac:dyDescent="0.3">
      <c r="F317" s="20">
        <v>73.636363635999999</v>
      </c>
      <c r="G317" s="20">
        <v>1.2783944E-2</v>
      </c>
      <c r="H317" s="21">
        <v>1.0345752E-2</v>
      </c>
      <c r="K317" s="12">
        <f t="shared" si="6"/>
        <v>20.273636363999998</v>
      </c>
    </row>
    <row r="318" spans="6:11" x14ac:dyDescent="0.3">
      <c r="F318" s="20">
        <v>77.727272726999999</v>
      </c>
      <c r="G318" s="20">
        <v>2.0369127000000001E-2</v>
      </c>
      <c r="H318" s="21">
        <v>1.0345752E-2</v>
      </c>
      <c r="K318" s="12">
        <f t="shared" si="6"/>
        <v>16.182727272999998</v>
      </c>
    </row>
    <row r="319" spans="6:11" x14ac:dyDescent="0.3">
      <c r="F319" s="20">
        <v>81.818181817999999</v>
      </c>
      <c r="G319" s="20">
        <v>3.5206092000000001E-2</v>
      </c>
      <c r="H319" s="21">
        <v>1.0345752E-2</v>
      </c>
      <c r="K319" s="12">
        <f t="shared" si="6"/>
        <v>12.091818181999997</v>
      </c>
    </row>
    <row r="320" spans="6:11" x14ac:dyDescent="0.3">
      <c r="F320" s="20">
        <v>85.909090909</v>
      </c>
      <c r="G320" s="20">
        <v>6.0735205E-2</v>
      </c>
      <c r="H320" s="21">
        <v>1.0345752E-2</v>
      </c>
      <c r="K320" s="12">
        <f t="shared" si="6"/>
        <v>8.0009090909999969</v>
      </c>
    </row>
    <row r="321" spans="1:13" s="15" customFormat="1" x14ac:dyDescent="0.3">
      <c r="F321" s="23">
        <v>90</v>
      </c>
      <c r="G321" s="23">
        <v>0.14957372299999999</v>
      </c>
      <c r="H321" s="24">
        <v>1.0345752E-2</v>
      </c>
      <c r="K321" s="12">
        <f t="shared" si="6"/>
        <v>3.9099999999999966</v>
      </c>
    </row>
    <row r="322" spans="1:13" x14ac:dyDescent="0.3">
      <c r="A322" s="9">
        <v>20241115</v>
      </c>
      <c r="B322" s="9">
        <v>-84.68</v>
      </c>
      <c r="C322" s="9">
        <v>5.71</v>
      </c>
      <c r="D322" s="9">
        <v>0.55000000000000004</v>
      </c>
      <c r="E322" s="9">
        <v>0.77</v>
      </c>
      <c r="F322" s="20">
        <v>-90</v>
      </c>
      <c r="G322" s="20">
        <v>0.106807074</v>
      </c>
      <c r="H322" s="21">
        <v>0.112806579</v>
      </c>
      <c r="K322" s="12">
        <f>MIN(ABS(F322-$B$322), ABS(F322-180-$B$322), ABS(F322+180-$B$322))</f>
        <v>5.3199999999999932</v>
      </c>
      <c r="L322" s="13" cm="1">
        <f t="array" ref="L322">SQRT(SUMPRODUCT(G322:G366,K322:K366*K322:K366))</f>
        <v>22.602659856367541</v>
      </c>
      <c r="M322" s="14" cm="1">
        <f t="array" ref="M322">SUMPRODUCT(G322:G366,ABS(K322:K366))</f>
        <v>13.302242599207897</v>
      </c>
    </row>
    <row r="323" spans="1:13" x14ac:dyDescent="0.3">
      <c r="F323" s="20">
        <v>-85.909090909</v>
      </c>
      <c r="G323" s="20">
        <v>0.17231892100000001</v>
      </c>
      <c r="H323" s="21">
        <v>0.16443064399999999</v>
      </c>
      <c r="K323" s="12">
        <f t="shared" ref="K323:K366" si="7">MIN(ABS(F323-$B$322), ABS(F323-180-$B$322), ABS(F323+180-$B$322))</f>
        <v>1.2290909089999928</v>
      </c>
    </row>
    <row r="324" spans="1:13" x14ac:dyDescent="0.3">
      <c r="F324" s="20">
        <v>-81.818181817999999</v>
      </c>
      <c r="G324" s="20">
        <v>0.14909203400000001</v>
      </c>
      <c r="H324" s="21">
        <v>0.14954933100000001</v>
      </c>
      <c r="K324" s="12">
        <f t="shared" si="7"/>
        <v>2.8618181820000075</v>
      </c>
      <c r="L324">
        <f>C322/L322</f>
        <v>0.25262513510733559</v>
      </c>
    </row>
    <row r="325" spans="1:13" x14ac:dyDescent="0.3">
      <c r="F325" s="20">
        <v>-77.727272726999999</v>
      </c>
      <c r="G325" s="20">
        <v>7.3012331999999999E-2</v>
      </c>
      <c r="H325" s="21">
        <v>8.5981470000000004E-2</v>
      </c>
      <c r="K325" s="12">
        <f t="shared" si="7"/>
        <v>6.9527272730000078</v>
      </c>
    </row>
    <row r="326" spans="1:13" x14ac:dyDescent="0.3">
      <c r="F326" s="20">
        <v>-73.636363635999999</v>
      </c>
      <c r="G326" s="20">
        <v>4.9756307E-2</v>
      </c>
      <c r="H326" s="21">
        <v>3.5384767999999997E-2</v>
      </c>
      <c r="K326" s="12">
        <f t="shared" si="7"/>
        <v>11.043636364000008</v>
      </c>
    </row>
    <row r="327" spans="1:13" x14ac:dyDescent="0.3">
      <c r="F327" s="20">
        <v>-69.545454544999998</v>
      </c>
      <c r="G327" s="20">
        <v>3.3290728999999998E-2</v>
      </c>
      <c r="H327" s="21">
        <v>1.5859209999999999E-2</v>
      </c>
      <c r="K327" s="12">
        <f t="shared" si="7"/>
        <v>15.134545455000008</v>
      </c>
    </row>
    <row r="328" spans="1:13" x14ac:dyDescent="0.3">
      <c r="F328" s="20">
        <v>-65.454545455000002</v>
      </c>
      <c r="G328" s="20">
        <v>1.9828504E-2</v>
      </c>
      <c r="H328" s="21">
        <v>1.1709148000000001E-2</v>
      </c>
      <c r="K328" s="12">
        <f t="shared" si="7"/>
        <v>19.225454545000005</v>
      </c>
    </row>
    <row r="329" spans="1:13" x14ac:dyDescent="0.3">
      <c r="F329" s="20">
        <v>-61.363636364000001</v>
      </c>
      <c r="G329" s="20">
        <v>1.2381209000000001E-2</v>
      </c>
      <c r="H329" s="21">
        <v>1.1202069E-2</v>
      </c>
      <c r="K329" s="12">
        <f t="shared" si="7"/>
        <v>23.316363636000005</v>
      </c>
    </row>
    <row r="330" spans="1:13" x14ac:dyDescent="0.3">
      <c r="F330" s="20">
        <v>-57.272727273000001</v>
      </c>
      <c r="G330" s="20">
        <v>9.3685890000000001E-3</v>
      </c>
      <c r="H330" s="21">
        <v>1.116577E-2</v>
      </c>
      <c r="K330" s="12">
        <f t="shared" si="7"/>
        <v>27.407272727000006</v>
      </c>
    </row>
    <row r="331" spans="1:13" x14ac:dyDescent="0.3">
      <c r="F331" s="20">
        <v>-53.181818182000001</v>
      </c>
      <c r="G331" s="20">
        <v>7.6775970000000004E-3</v>
      </c>
      <c r="H331" s="21">
        <v>1.1164233000000001E-2</v>
      </c>
      <c r="K331" s="12">
        <f t="shared" si="7"/>
        <v>31.498181818000006</v>
      </c>
    </row>
    <row r="332" spans="1:13" x14ac:dyDescent="0.3">
      <c r="F332" s="20">
        <v>-49.090909091</v>
      </c>
      <c r="G332" s="20">
        <v>6.4428489999999996E-3</v>
      </c>
      <c r="H332" s="21">
        <v>1.1164194000000001E-2</v>
      </c>
      <c r="K332" s="12">
        <f t="shared" si="7"/>
        <v>35.589090909000006</v>
      </c>
    </row>
    <row r="333" spans="1:13" x14ac:dyDescent="0.3">
      <c r="F333" s="20">
        <v>-45</v>
      </c>
      <c r="G333" s="20">
        <v>6.2761140000000002E-3</v>
      </c>
      <c r="H333" s="21">
        <v>1.1164194000000001E-2</v>
      </c>
      <c r="K333" s="12">
        <f t="shared" si="7"/>
        <v>39.680000000000007</v>
      </c>
    </row>
    <row r="334" spans="1:13" x14ac:dyDescent="0.3">
      <c r="F334" s="20">
        <v>-40.909090909</v>
      </c>
      <c r="G334" s="20">
        <v>5.1672649999999999E-3</v>
      </c>
      <c r="H334" s="21">
        <v>1.1164194000000001E-2</v>
      </c>
      <c r="K334" s="12">
        <f t="shared" si="7"/>
        <v>43.770909091000007</v>
      </c>
    </row>
    <row r="335" spans="1:13" x14ac:dyDescent="0.3">
      <c r="F335" s="20">
        <v>-36.818181817999999</v>
      </c>
      <c r="G335" s="20">
        <v>4.6327460000000001E-3</v>
      </c>
      <c r="H335" s="21">
        <v>1.1164194000000001E-2</v>
      </c>
      <c r="K335" s="12">
        <f t="shared" si="7"/>
        <v>47.861818182000007</v>
      </c>
    </row>
    <row r="336" spans="1:13" x14ac:dyDescent="0.3">
      <c r="F336" s="20">
        <v>-32.727272726999999</v>
      </c>
      <c r="G336" s="20">
        <v>4.1270980000000001E-3</v>
      </c>
      <c r="H336" s="21">
        <v>1.1164194000000001E-2</v>
      </c>
      <c r="K336" s="12">
        <f t="shared" si="7"/>
        <v>51.952727273000008</v>
      </c>
    </row>
    <row r="337" spans="6:11" x14ac:dyDescent="0.3">
      <c r="F337" s="20">
        <v>-28.636363635999999</v>
      </c>
      <c r="G337" s="20">
        <v>3.7214940000000001E-3</v>
      </c>
      <c r="H337" s="21">
        <v>1.1164194000000001E-2</v>
      </c>
      <c r="K337" s="12">
        <f t="shared" si="7"/>
        <v>56.043636364000008</v>
      </c>
    </row>
    <row r="338" spans="6:11" x14ac:dyDescent="0.3">
      <c r="F338" s="20">
        <v>-24.545454544999998</v>
      </c>
      <c r="G338" s="20">
        <v>3.718491E-3</v>
      </c>
      <c r="H338" s="21">
        <v>1.1164194000000001E-2</v>
      </c>
      <c r="K338" s="12">
        <f t="shared" si="7"/>
        <v>60.134545455000008</v>
      </c>
    </row>
    <row r="339" spans="6:11" x14ac:dyDescent="0.3">
      <c r="F339" s="20">
        <v>-20.454545455000002</v>
      </c>
      <c r="G339" s="20">
        <v>3.687072E-3</v>
      </c>
      <c r="H339" s="21">
        <v>1.1164194000000001E-2</v>
      </c>
      <c r="K339" s="12">
        <f t="shared" si="7"/>
        <v>64.225454545000005</v>
      </c>
    </row>
    <row r="340" spans="6:11" x14ac:dyDescent="0.3">
      <c r="F340" s="20">
        <v>-16.363636364000001</v>
      </c>
      <c r="G340" s="20">
        <v>3.5499310000000001E-3</v>
      </c>
      <c r="H340" s="21">
        <v>1.1164194000000001E-2</v>
      </c>
      <c r="K340" s="12">
        <f t="shared" si="7"/>
        <v>68.316363636000005</v>
      </c>
    </row>
    <row r="341" spans="6:11" x14ac:dyDescent="0.3">
      <c r="F341" s="20">
        <v>-12.272727272999999</v>
      </c>
      <c r="G341" s="20">
        <v>3.3205040000000002E-3</v>
      </c>
      <c r="H341" s="21">
        <v>1.1164194000000001E-2</v>
      </c>
      <c r="K341" s="12">
        <f t="shared" si="7"/>
        <v>72.407272727000006</v>
      </c>
    </row>
    <row r="342" spans="6:11" x14ac:dyDescent="0.3">
      <c r="F342" s="20">
        <v>-8.1818181820000007</v>
      </c>
      <c r="G342" s="20">
        <v>3.3889340000000001E-3</v>
      </c>
      <c r="H342" s="21">
        <v>1.1164194000000001E-2</v>
      </c>
      <c r="K342" s="12">
        <f t="shared" si="7"/>
        <v>76.498181818000006</v>
      </c>
    </row>
    <row r="343" spans="6:11" x14ac:dyDescent="0.3">
      <c r="F343" s="20">
        <v>-4.0909090910000003</v>
      </c>
      <c r="G343" s="20">
        <v>3.4256299999999998E-3</v>
      </c>
      <c r="H343" s="21">
        <v>1.1164194000000001E-2</v>
      </c>
      <c r="K343" s="12">
        <f t="shared" si="7"/>
        <v>80.589090909000006</v>
      </c>
    </row>
    <row r="344" spans="6:11" x14ac:dyDescent="0.3">
      <c r="F344" s="20">
        <v>0</v>
      </c>
      <c r="G344" s="20">
        <v>3.4631890000000002E-3</v>
      </c>
      <c r="H344" s="21">
        <v>1.1164194000000001E-2</v>
      </c>
      <c r="K344" s="12">
        <f t="shared" si="7"/>
        <v>84.68</v>
      </c>
    </row>
    <row r="345" spans="6:11" x14ac:dyDescent="0.3">
      <c r="F345" s="20">
        <v>4.0909090910000003</v>
      </c>
      <c r="G345" s="20">
        <v>3.3335690000000002E-3</v>
      </c>
      <c r="H345" s="21">
        <v>1.1164194000000001E-2</v>
      </c>
      <c r="K345" s="12">
        <f t="shared" si="7"/>
        <v>88.770909091000007</v>
      </c>
    </row>
    <row r="346" spans="6:11" x14ac:dyDescent="0.3">
      <c r="F346" s="20">
        <v>8.1818181820000007</v>
      </c>
      <c r="G346" s="20">
        <v>3.4120510000000001E-3</v>
      </c>
      <c r="H346" s="21">
        <v>1.1164194000000001E-2</v>
      </c>
      <c r="K346" s="12">
        <f t="shared" si="7"/>
        <v>87.138181817999993</v>
      </c>
    </row>
    <row r="347" spans="6:11" x14ac:dyDescent="0.3">
      <c r="F347" s="20">
        <v>12.272727272999999</v>
      </c>
      <c r="G347" s="20">
        <v>3.2829980000000001E-3</v>
      </c>
      <c r="H347" s="21">
        <v>1.1164194000000001E-2</v>
      </c>
      <c r="K347" s="12">
        <f t="shared" si="7"/>
        <v>83.047272727000006</v>
      </c>
    </row>
    <row r="348" spans="6:11" x14ac:dyDescent="0.3">
      <c r="F348" s="20">
        <v>16.363636364000001</v>
      </c>
      <c r="G348" s="20">
        <v>3.383531E-3</v>
      </c>
      <c r="H348" s="21">
        <v>1.1164194000000001E-2</v>
      </c>
      <c r="K348" s="12">
        <f t="shared" si="7"/>
        <v>78.956363635999992</v>
      </c>
    </row>
    <row r="349" spans="6:11" x14ac:dyDescent="0.3">
      <c r="F349" s="20">
        <v>20.454545455000002</v>
      </c>
      <c r="G349" s="20">
        <v>3.3493389999999998E-3</v>
      </c>
      <c r="H349" s="21">
        <v>1.1164194000000001E-2</v>
      </c>
      <c r="K349" s="12">
        <f t="shared" si="7"/>
        <v>74.865454544999977</v>
      </c>
    </row>
    <row r="350" spans="6:11" x14ac:dyDescent="0.3">
      <c r="F350" s="20">
        <v>24.545454544999998</v>
      </c>
      <c r="G350" s="20">
        <v>3.5343829999999999E-3</v>
      </c>
      <c r="H350" s="21">
        <v>1.1164194000000001E-2</v>
      </c>
      <c r="K350" s="12">
        <f t="shared" si="7"/>
        <v>70.774545455000009</v>
      </c>
    </row>
    <row r="351" spans="6:11" x14ac:dyDescent="0.3">
      <c r="F351" s="20">
        <v>28.636363635999999</v>
      </c>
      <c r="G351" s="20">
        <v>3.3961410000000001E-3</v>
      </c>
      <c r="H351" s="21">
        <v>1.1164194000000001E-2</v>
      </c>
      <c r="K351" s="12">
        <f t="shared" si="7"/>
        <v>66.683636363999995</v>
      </c>
    </row>
    <row r="352" spans="6:11" x14ac:dyDescent="0.3">
      <c r="F352" s="20">
        <v>32.727272726999999</v>
      </c>
      <c r="G352" s="20">
        <v>3.7663340000000001E-3</v>
      </c>
      <c r="H352" s="21">
        <v>1.1164194000000001E-2</v>
      </c>
      <c r="K352" s="12">
        <f t="shared" si="7"/>
        <v>62.59272727299998</v>
      </c>
    </row>
    <row r="353" spans="1:13" x14ac:dyDescent="0.3">
      <c r="F353" s="20">
        <v>36.818181817999999</v>
      </c>
      <c r="G353" s="20">
        <v>3.817052E-3</v>
      </c>
      <c r="H353" s="21">
        <v>1.1164194000000001E-2</v>
      </c>
      <c r="K353" s="12">
        <f t="shared" si="7"/>
        <v>58.501818181999994</v>
      </c>
    </row>
    <row r="354" spans="1:13" x14ac:dyDescent="0.3">
      <c r="F354" s="20">
        <v>40.909090909</v>
      </c>
      <c r="G354" s="20">
        <v>4.132691E-3</v>
      </c>
      <c r="H354" s="21">
        <v>1.1164194000000001E-2</v>
      </c>
      <c r="K354" s="12">
        <f t="shared" si="7"/>
        <v>54.410909091000008</v>
      </c>
    </row>
    <row r="355" spans="1:13" x14ac:dyDescent="0.3">
      <c r="F355" s="20">
        <v>45</v>
      </c>
      <c r="G355" s="20">
        <v>4.3594910000000001E-3</v>
      </c>
      <c r="H355" s="21">
        <v>1.1164194000000001E-2</v>
      </c>
      <c r="K355" s="12">
        <f t="shared" si="7"/>
        <v>50.319999999999993</v>
      </c>
    </row>
    <row r="356" spans="1:13" x14ac:dyDescent="0.3">
      <c r="F356" s="20">
        <v>49.090909091</v>
      </c>
      <c r="G356" s="20">
        <v>3.9784690000000001E-3</v>
      </c>
      <c r="H356" s="21">
        <v>1.1164194000000001E-2</v>
      </c>
      <c r="K356" s="12">
        <f t="shared" si="7"/>
        <v>46.229090908999979</v>
      </c>
    </row>
    <row r="357" spans="1:13" x14ac:dyDescent="0.3">
      <c r="F357" s="20">
        <v>53.181818182000001</v>
      </c>
      <c r="G357" s="20">
        <v>4.5471269999999998E-3</v>
      </c>
      <c r="H357" s="21">
        <v>1.1164194000000001E-2</v>
      </c>
      <c r="K357" s="12">
        <f t="shared" si="7"/>
        <v>42.138181817999993</v>
      </c>
    </row>
    <row r="358" spans="1:13" x14ac:dyDescent="0.3">
      <c r="F358" s="20">
        <v>57.272727273000001</v>
      </c>
      <c r="G358" s="20">
        <v>5.4005750000000003E-3</v>
      </c>
      <c r="H358" s="21">
        <v>1.1164194000000001E-2</v>
      </c>
      <c r="K358" s="12">
        <f t="shared" si="7"/>
        <v>38.047272726999992</v>
      </c>
    </row>
    <row r="359" spans="1:13" x14ac:dyDescent="0.3">
      <c r="F359" s="20">
        <v>61.363636364000001</v>
      </c>
      <c r="G359" s="20">
        <v>6.112681E-3</v>
      </c>
      <c r="H359" s="21">
        <v>1.1164194000000001E-2</v>
      </c>
      <c r="K359" s="12">
        <f t="shared" si="7"/>
        <v>33.956363635999992</v>
      </c>
    </row>
    <row r="360" spans="1:13" x14ac:dyDescent="0.3">
      <c r="F360" s="20">
        <v>65.454545455000002</v>
      </c>
      <c r="G360" s="20">
        <v>7.291601E-3</v>
      </c>
      <c r="H360" s="21">
        <v>1.1164194000000001E-2</v>
      </c>
      <c r="K360" s="12">
        <f t="shared" si="7"/>
        <v>29.865454544999992</v>
      </c>
    </row>
    <row r="361" spans="1:13" x14ac:dyDescent="0.3">
      <c r="F361" s="20">
        <v>69.545454544999998</v>
      </c>
      <c r="G361" s="20">
        <v>9.3554840000000007E-3</v>
      </c>
      <c r="H361" s="21">
        <v>1.1164194000000001E-2</v>
      </c>
      <c r="K361" s="12">
        <f t="shared" si="7"/>
        <v>25.774545454999995</v>
      </c>
    </row>
    <row r="362" spans="1:13" x14ac:dyDescent="0.3">
      <c r="F362" s="20">
        <v>73.636363635999999</v>
      </c>
      <c r="G362" s="20">
        <v>1.2063598E-2</v>
      </c>
      <c r="H362" s="21">
        <v>1.1164194000000001E-2</v>
      </c>
      <c r="K362" s="12">
        <f t="shared" si="7"/>
        <v>21.683636363999995</v>
      </c>
    </row>
    <row r="363" spans="1:13" x14ac:dyDescent="0.3">
      <c r="F363" s="20">
        <v>77.727272726999999</v>
      </c>
      <c r="G363" s="20">
        <v>1.9937637000000001E-2</v>
      </c>
      <c r="H363" s="21">
        <v>1.1164194000000001E-2</v>
      </c>
      <c r="K363" s="12">
        <f t="shared" si="7"/>
        <v>17.592727272999994</v>
      </c>
    </row>
    <row r="364" spans="1:13" x14ac:dyDescent="0.3">
      <c r="F364" s="20">
        <v>81.818181817999999</v>
      </c>
      <c r="G364" s="20">
        <v>3.5962108E-2</v>
      </c>
      <c r="H364" s="21">
        <v>1.1164194000000001E-2</v>
      </c>
      <c r="K364" s="12">
        <f t="shared" si="7"/>
        <v>13.501818181999994</v>
      </c>
    </row>
    <row r="365" spans="1:13" x14ac:dyDescent="0.3">
      <c r="F365" s="20">
        <v>85.909090909</v>
      </c>
      <c r="G365" s="20">
        <v>6.0321455000000003E-2</v>
      </c>
      <c r="H365" s="21">
        <v>1.1164194000000001E-2</v>
      </c>
      <c r="K365" s="12">
        <f t="shared" si="7"/>
        <v>9.4109090909999935</v>
      </c>
    </row>
    <row r="366" spans="1:13" s="15" customFormat="1" x14ac:dyDescent="0.3">
      <c r="F366" s="23">
        <v>90</v>
      </c>
      <c r="G366" s="23">
        <v>0.106807074</v>
      </c>
      <c r="H366" s="24">
        <v>1.1164194000000001E-2</v>
      </c>
      <c r="K366" s="12">
        <f t="shared" si="7"/>
        <v>5.3199999999999932</v>
      </c>
    </row>
    <row r="367" spans="1:13" x14ac:dyDescent="0.3">
      <c r="A367" s="9">
        <v>20241115</v>
      </c>
      <c r="B367" s="9">
        <v>-85.78</v>
      </c>
      <c r="C367" s="9">
        <v>5.34</v>
      </c>
      <c r="D367" s="9">
        <v>0.53</v>
      </c>
      <c r="E367" s="9">
        <v>0.72</v>
      </c>
      <c r="F367" s="20">
        <v>-90</v>
      </c>
      <c r="G367" s="20">
        <v>0.13277356400000001</v>
      </c>
      <c r="H367" s="21">
        <v>0.138698084</v>
      </c>
      <c r="K367" s="12">
        <f>MIN(ABS(F367-$B$367), ABS(F367-180-$B$367), ABS(F367+180-$B$367))</f>
        <v>4.2199999999999989</v>
      </c>
      <c r="L367" s="13" cm="1">
        <f t="array" ref="L367">SQRT(SUMPRODUCT(G367:G411,K367:K411*K367:K411))</f>
        <v>19.858714368931697</v>
      </c>
      <c r="M367" s="14" cm="1">
        <f t="array" ref="M367">SUMPRODUCT(G367:G411,ABS(K367:K411))</f>
        <v>10.974418737711767</v>
      </c>
    </row>
    <row r="368" spans="1:13" x14ac:dyDescent="0.3">
      <c r="F368" s="20">
        <v>-85.909090909</v>
      </c>
      <c r="G368" s="20">
        <v>0.19715923599999999</v>
      </c>
      <c r="H368" s="21">
        <v>0.185535745</v>
      </c>
      <c r="K368" s="12">
        <f t="shared" ref="K368:K411" si="8">MIN(ABS(F368-$B$367), ABS(F368-180-$B$367), ABS(F368+180-$B$367))</f>
        <v>0.12909090899999853</v>
      </c>
    </row>
    <row r="369" spans="6:12" x14ac:dyDescent="0.3">
      <c r="F369" s="20">
        <v>-81.818181817999999</v>
      </c>
      <c r="G369" s="20">
        <v>0.131765454</v>
      </c>
      <c r="H369" s="21">
        <v>0.14357668300000001</v>
      </c>
      <c r="K369" s="12">
        <f t="shared" si="8"/>
        <v>3.9618181820000018</v>
      </c>
      <c r="L369">
        <f>C367/L367</f>
        <v>0.26889958235938244</v>
      </c>
    </row>
    <row r="370" spans="6:12" x14ac:dyDescent="0.3">
      <c r="F370" s="20">
        <v>-77.727272726999999</v>
      </c>
      <c r="G370" s="20">
        <v>6.8594382999999995E-2</v>
      </c>
      <c r="H370" s="21">
        <v>6.6962369999999993E-2</v>
      </c>
      <c r="K370" s="12">
        <f t="shared" si="8"/>
        <v>8.0527272730000021</v>
      </c>
    </row>
    <row r="371" spans="6:12" x14ac:dyDescent="0.3">
      <c r="F371" s="20">
        <v>-73.636363635999999</v>
      </c>
      <c r="G371" s="20">
        <v>3.8082115999999999E-2</v>
      </c>
      <c r="H371" s="21">
        <v>2.4117679999999999E-2</v>
      </c>
      <c r="K371" s="12">
        <f t="shared" si="8"/>
        <v>12.143636364000002</v>
      </c>
    </row>
    <row r="372" spans="6:12" x14ac:dyDescent="0.3">
      <c r="F372" s="20">
        <v>-69.545454544999998</v>
      </c>
      <c r="G372" s="20">
        <v>2.3691835000000001E-2</v>
      </c>
      <c r="H372" s="21">
        <v>1.2694851E-2</v>
      </c>
      <c r="K372" s="12">
        <f t="shared" si="8"/>
        <v>16.234545455000003</v>
      </c>
    </row>
    <row r="373" spans="6:12" x14ac:dyDescent="0.3">
      <c r="F373" s="20">
        <v>-65.454545455000002</v>
      </c>
      <c r="G373" s="20">
        <v>1.2815160000000001E-2</v>
      </c>
      <c r="H373" s="21">
        <v>1.1105855E-2</v>
      </c>
      <c r="K373" s="12">
        <f t="shared" si="8"/>
        <v>20.325454544999999</v>
      </c>
    </row>
    <row r="374" spans="6:12" x14ac:dyDescent="0.3">
      <c r="F374" s="20">
        <v>-61.363636364000001</v>
      </c>
      <c r="G374" s="20">
        <v>9.2150310000000003E-3</v>
      </c>
      <c r="H374" s="21">
        <v>1.0986677E-2</v>
      </c>
      <c r="K374" s="12">
        <f t="shared" si="8"/>
        <v>24.416363636</v>
      </c>
    </row>
    <row r="375" spans="6:12" x14ac:dyDescent="0.3">
      <c r="F375" s="20">
        <v>-57.272727273000001</v>
      </c>
      <c r="G375" s="20">
        <v>6.7452959999999996E-3</v>
      </c>
      <c r="H375" s="21">
        <v>1.0981786E-2</v>
      </c>
      <c r="K375" s="12">
        <f t="shared" si="8"/>
        <v>28.507272727</v>
      </c>
    </row>
    <row r="376" spans="6:12" x14ac:dyDescent="0.3">
      <c r="F376" s="20">
        <v>-53.181818182000001</v>
      </c>
      <c r="G376" s="20">
        <v>5.6665229999999997E-3</v>
      </c>
      <c r="H376" s="21">
        <v>1.0981675E-2</v>
      </c>
      <c r="K376" s="12">
        <f t="shared" si="8"/>
        <v>32.598181818</v>
      </c>
    </row>
    <row r="377" spans="6:12" x14ac:dyDescent="0.3">
      <c r="F377" s="20">
        <v>-49.090909091</v>
      </c>
      <c r="G377" s="20">
        <v>4.5481530000000001E-3</v>
      </c>
      <c r="H377" s="21">
        <v>1.0981674E-2</v>
      </c>
      <c r="K377" s="12">
        <f t="shared" si="8"/>
        <v>36.689090909000001</v>
      </c>
    </row>
    <row r="378" spans="6:12" x14ac:dyDescent="0.3">
      <c r="F378" s="20">
        <v>-45</v>
      </c>
      <c r="G378" s="20">
        <v>4.0224329999999997E-3</v>
      </c>
      <c r="H378" s="21">
        <v>1.0981674E-2</v>
      </c>
      <c r="K378" s="12">
        <f t="shared" si="8"/>
        <v>40.78</v>
      </c>
    </row>
    <row r="379" spans="6:12" x14ac:dyDescent="0.3">
      <c r="F379" s="20">
        <v>-40.909090909</v>
      </c>
      <c r="G379" s="20">
        <v>3.624305E-3</v>
      </c>
      <c r="H379" s="21">
        <v>1.0981674E-2</v>
      </c>
      <c r="K379" s="12">
        <f t="shared" si="8"/>
        <v>44.870909091000001</v>
      </c>
    </row>
    <row r="380" spans="6:12" x14ac:dyDescent="0.3">
      <c r="F380" s="20">
        <v>-36.818181817999999</v>
      </c>
      <c r="G380" s="20">
        <v>3.4367180000000001E-3</v>
      </c>
      <c r="H380" s="21">
        <v>1.0981674E-2</v>
      </c>
      <c r="K380" s="12">
        <f t="shared" si="8"/>
        <v>48.961818182000002</v>
      </c>
    </row>
    <row r="381" spans="6:12" x14ac:dyDescent="0.3">
      <c r="F381" s="20">
        <v>-32.727272726999999</v>
      </c>
      <c r="G381" s="20">
        <v>3.329931E-3</v>
      </c>
      <c r="H381" s="21">
        <v>1.0981674E-2</v>
      </c>
      <c r="K381" s="12">
        <f t="shared" si="8"/>
        <v>53.052727273000002</v>
      </c>
    </row>
    <row r="382" spans="6:12" x14ac:dyDescent="0.3">
      <c r="F382" s="20">
        <v>-28.636363635999999</v>
      </c>
      <c r="G382" s="20">
        <v>3.2209019999999999E-3</v>
      </c>
      <c r="H382" s="21">
        <v>1.0981674E-2</v>
      </c>
      <c r="K382" s="12">
        <f t="shared" si="8"/>
        <v>57.143636364000002</v>
      </c>
    </row>
    <row r="383" spans="6:12" x14ac:dyDescent="0.3">
      <c r="F383" s="20">
        <v>-24.545454544999998</v>
      </c>
      <c r="G383" s="20">
        <v>2.9491299999999999E-3</v>
      </c>
      <c r="H383" s="21">
        <v>1.0981674E-2</v>
      </c>
      <c r="K383" s="12">
        <f t="shared" si="8"/>
        <v>61.234545455000003</v>
      </c>
    </row>
    <row r="384" spans="6:12" x14ac:dyDescent="0.3">
      <c r="F384" s="20">
        <v>-20.454545455000002</v>
      </c>
      <c r="G384" s="20">
        <v>2.5803369999999998E-3</v>
      </c>
      <c r="H384" s="21">
        <v>1.0981674E-2</v>
      </c>
      <c r="K384" s="12">
        <f t="shared" si="8"/>
        <v>65.325454544999999</v>
      </c>
    </row>
    <row r="385" spans="6:11" x14ac:dyDescent="0.3">
      <c r="F385" s="20">
        <v>-16.363636364000001</v>
      </c>
      <c r="G385" s="20">
        <v>2.3576970000000002E-3</v>
      </c>
      <c r="H385" s="21">
        <v>1.0981674E-2</v>
      </c>
      <c r="K385" s="12">
        <f t="shared" si="8"/>
        <v>69.416363636</v>
      </c>
    </row>
    <row r="386" spans="6:11" x14ac:dyDescent="0.3">
      <c r="F386" s="20">
        <v>-12.272727272999999</v>
      </c>
      <c r="G386" s="20">
        <v>2.5927630000000001E-3</v>
      </c>
      <c r="H386" s="21">
        <v>1.0981674E-2</v>
      </c>
      <c r="K386" s="12">
        <f t="shared" si="8"/>
        <v>73.507272727</v>
      </c>
    </row>
    <row r="387" spans="6:11" x14ac:dyDescent="0.3">
      <c r="F387" s="20">
        <v>-8.1818181820000007</v>
      </c>
      <c r="G387" s="20">
        <v>2.4423880000000002E-3</v>
      </c>
      <c r="H387" s="21">
        <v>1.0981674E-2</v>
      </c>
      <c r="K387" s="12">
        <f t="shared" si="8"/>
        <v>77.598181818</v>
      </c>
    </row>
    <row r="388" spans="6:11" x14ac:dyDescent="0.3">
      <c r="F388" s="20">
        <v>-4.0909090910000003</v>
      </c>
      <c r="G388" s="20">
        <v>2.4816349999999998E-3</v>
      </c>
      <c r="H388" s="21">
        <v>1.0981674E-2</v>
      </c>
      <c r="K388" s="12">
        <f t="shared" si="8"/>
        <v>81.689090909000001</v>
      </c>
    </row>
    <row r="389" spans="6:11" x14ac:dyDescent="0.3">
      <c r="F389" s="20">
        <v>0</v>
      </c>
      <c r="G389" s="20">
        <v>3.101712E-3</v>
      </c>
      <c r="H389" s="21">
        <v>1.0981674E-2</v>
      </c>
      <c r="K389" s="12">
        <f t="shared" si="8"/>
        <v>85.78</v>
      </c>
    </row>
    <row r="390" spans="6:11" x14ac:dyDescent="0.3">
      <c r="F390" s="20">
        <v>4.0909090910000003</v>
      </c>
      <c r="G390" s="20">
        <v>2.5699680000000002E-3</v>
      </c>
      <c r="H390" s="21">
        <v>1.0981674E-2</v>
      </c>
      <c r="K390" s="12">
        <f t="shared" si="8"/>
        <v>89.870909091000001</v>
      </c>
    </row>
    <row r="391" spans="6:11" x14ac:dyDescent="0.3">
      <c r="F391" s="20">
        <v>8.1818181820000007</v>
      </c>
      <c r="G391" s="20">
        <v>2.5041569999999999E-3</v>
      </c>
      <c r="H391" s="21">
        <v>1.0981674E-2</v>
      </c>
      <c r="K391" s="12">
        <f t="shared" si="8"/>
        <v>86.038181817999998</v>
      </c>
    </row>
    <row r="392" spans="6:11" x14ac:dyDescent="0.3">
      <c r="F392" s="20">
        <v>12.272727272999999</v>
      </c>
      <c r="G392" s="20">
        <v>2.4148389999999998E-3</v>
      </c>
      <c r="H392" s="21">
        <v>1.0981674E-2</v>
      </c>
      <c r="K392" s="12">
        <f t="shared" si="8"/>
        <v>81.947272727000012</v>
      </c>
    </row>
    <row r="393" spans="6:11" x14ac:dyDescent="0.3">
      <c r="F393" s="20">
        <v>16.363636364000001</v>
      </c>
      <c r="G393" s="20">
        <v>2.4848169999999998E-3</v>
      </c>
      <c r="H393" s="21">
        <v>1.0981674E-2</v>
      </c>
      <c r="K393" s="12">
        <f t="shared" si="8"/>
        <v>77.856363635999998</v>
      </c>
    </row>
    <row r="394" spans="6:11" x14ac:dyDescent="0.3">
      <c r="F394" s="20">
        <v>20.454545455000002</v>
      </c>
      <c r="G394" s="20">
        <v>2.6095179999999999E-3</v>
      </c>
      <c r="H394" s="21">
        <v>1.0981674E-2</v>
      </c>
      <c r="K394" s="12">
        <f t="shared" si="8"/>
        <v>73.765454544999983</v>
      </c>
    </row>
    <row r="395" spans="6:11" x14ac:dyDescent="0.3">
      <c r="F395" s="20">
        <v>24.545454544999998</v>
      </c>
      <c r="G395" s="20">
        <v>2.6454640000000001E-3</v>
      </c>
      <c r="H395" s="21">
        <v>1.0981674E-2</v>
      </c>
      <c r="K395" s="12">
        <f t="shared" si="8"/>
        <v>69.674545455000015</v>
      </c>
    </row>
    <row r="396" spans="6:11" x14ac:dyDescent="0.3">
      <c r="F396" s="20">
        <v>28.636363635999999</v>
      </c>
      <c r="G396" s="20">
        <v>2.5450300000000002E-3</v>
      </c>
      <c r="H396" s="21">
        <v>1.0981674E-2</v>
      </c>
      <c r="K396" s="12">
        <f t="shared" si="8"/>
        <v>65.583636364</v>
      </c>
    </row>
    <row r="397" spans="6:11" x14ac:dyDescent="0.3">
      <c r="F397" s="20">
        <v>32.727272726999999</v>
      </c>
      <c r="G397" s="20">
        <v>2.469419E-3</v>
      </c>
      <c r="H397" s="21">
        <v>1.0981674E-2</v>
      </c>
      <c r="K397" s="12">
        <f t="shared" si="8"/>
        <v>61.492727272999986</v>
      </c>
    </row>
    <row r="398" spans="6:11" x14ac:dyDescent="0.3">
      <c r="F398" s="20">
        <v>36.818181817999999</v>
      </c>
      <c r="G398" s="20">
        <v>2.8931360000000001E-3</v>
      </c>
      <c r="H398" s="21">
        <v>1.0981674E-2</v>
      </c>
      <c r="K398" s="12">
        <f t="shared" si="8"/>
        <v>57.401818182</v>
      </c>
    </row>
    <row r="399" spans="6:11" x14ac:dyDescent="0.3">
      <c r="F399" s="20">
        <v>40.909090909</v>
      </c>
      <c r="G399" s="20">
        <v>2.7240089999999999E-3</v>
      </c>
      <c r="H399" s="21">
        <v>1.0981674E-2</v>
      </c>
      <c r="K399" s="12">
        <f t="shared" si="8"/>
        <v>53.310909091000013</v>
      </c>
    </row>
    <row r="400" spans="6:11" x14ac:dyDescent="0.3">
      <c r="F400" s="20">
        <v>45</v>
      </c>
      <c r="G400" s="20">
        <v>2.7244309999999998E-3</v>
      </c>
      <c r="H400" s="21">
        <v>1.0981674E-2</v>
      </c>
      <c r="K400" s="12">
        <f t="shared" si="8"/>
        <v>49.22</v>
      </c>
    </row>
    <row r="401" spans="1:13" x14ac:dyDescent="0.3">
      <c r="F401" s="20">
        <v>49.090909091</v>
      </c>
      <c r="G401" s="20">
        <v>3.0270929999999998E-3</v>
      </c>
      <c r="H401" s="21">
        <v>1.0981674E-2</v>
      </c>
      <c r="K401" s="12">
        <f t="shared" si="8"/>
        <v>45.129090908999984</v>
      </c>
    </row>
    <row r="402" spans="1:13" x14ac:dyDescent="0.3">
      <c r="F402" s="20">
        <v>53.181818182000001</v>
      </c>
      <c r="G402" s="20">
        <v>3.8369839999999999E-3</v>
      </c>
      <c r="H402" s="21">
        <v>1.0981674E-2</v>
      </c>
      <c r="K402" s="12">
        <f t="shared" si="8"/>
        <v>41.038181817999998</v>
      </c>
    </row>
    <row r="403" spans="1:13" x14ac:dyDescent="0.3">
      <c r="F403" s="20">
        <v>57.272727273000001</v>
      </c>
      <c r="G403" s="20">
        <v>4.9428859999999996E-3</v>
      </c>
      <c r="H403" s="21">
        <v>1.0981674E-2</v>
      </c>
      <c r="K403" s="12">
        <f t="shared" si="8"/>
        <v>36.947272726999998</v>
      </c>
    </row>
    <row r="404" spans="1:13" x14ac:dyDescent="0.3">
      <c r="F404" s="20">
        <v>61.363636364000001</v>
      </c>
      <c r="G404" s="20">
        <v>5.9275589999999998E-3</v>
      </c>
      <c r="H404" s="21">
        <v>1.0981674E-2</v>
      </c>
      <c r="K404" s="12">
        <f t="shared" si="8"/>
        <v>32.856363635999998</v>
      </c>
    </row>
    <row r="405" spans="1:13" x14ac:dyDescent="0.3">
      <c r="F405" s="20">
        <v>65.454545455000002</v>
      </c>
      <c r="G405" s="20">
        <v>7.0237420000000004E-3</v>
      </c>
      <c r="H405" s="21">
        <v>1.0981674E-2</v>
      </c>
      <c r="K405" s="12">
        <f t="shared" si="8"/>
        <v>28.765454544999997</v>
      </c>
    </row>
    <row r="406" spans="1:13" x14ac:dyDescent="0.3">
      <c r="F406" s="20">
        <v>69.545454544999998</v>
      </c>
      <c r="G406" s="20">
        <v>8.578825E-3</v>
      </c>
      <c r="H406" s="21">
        <v>1.0981674E-2</v>
      </c>
      <c r="K406" s="12">
        <f t="shared" si="8"/>
        <v>24.674545455000001</v>
      </c>
    </row>
    <row r="407" spans="1:13" x14ac:dyDescent="0.3">
      <c r="F407" s="20">
        <v>73.636363635999999</v>
      </c>
      <c r="G407" s="20">
        <v>1.1468732000000001E-2</v>
      </c>
      <c r="H407" s="21">
        <v>1.0981674E-2</v>
      </c>
      <c r="K407" s="12">
        <f t="shared" si="8"/>
        <v>20.583636364</v>
      </c>
    </row>
    <row r="408" spans="1:13" x14ac:dyDescent="0.3">
      <c r="F408" s="20">
        <v>77.727272726999999</v>
      </c>
      <c r="G408" s="20">
        <v>1.9101427000000001E-2</v>
      </c>
      <c r="H408" s="21">
        <v>1.0981674E-2</v>
      </c>
      <c r="K408" s="12">
        <f t="shared" si="8"/>
        <v>16.492727273</v>
      </c>
    </row>
    <row r="409" spans="1:13" x14ac:dyDescent="0.3">
      <c r="F409" s="20">
        <v>81.818181817999999</v>
      </c>
      <c r="G409" s="20">
        <v>3.701451E-2</v>
      </c>
      <c r="H409" s="21">
        <v>1.0981674E-2</v>
      </c>
      <c r="K409" s="12">
        <f t="shared" si="8"/>
        <v>12.401818182</v>
      </c>
    </row>
    <row r="410" spans="1:13" x14ac:dyDescent="0.3">
      <c r="F410" s="20">
        <v>85.909090909</v>
      </c>
      <c r="G410" s="20">
        <v>7.0523188000000001E-2</v>
      </c>
      <c r="H410" s="21">
        <v>1.0981674E-2</v>
      </c>
      <c r="K410" s="12">
        <f t="shared" si="8"/>
        <v>8.3109090909999992</v>
      </c>
    </row>
    <row r="411" spans="1:13" s="15" customFormat="1" x14ac:dyDescent="0.3">
      <c r="F411" s="23">
        <v>90</v>
      </c>
      <c r="G411" s="23">
        <v>0.13277356400000001</v>
      </c>
      <c r="H411" s="24">
        <v>1.0981674E-2</v>
      </c>
      <c r="K411" s="12">
        <f t="shared" si="8"/>
        <v>4.2199999999999989</v>
      </c>
    </row>
    <row r="412" spans="1:13" x14ac:dyDescent="0.3">
      <c r="A412" s="9">
        <v>20241115</v>
      </c>
      <c r="B412" s="9">
        <v>-87.98</v>
      </c>
      <c r="C412" s="9">
        <v>7.37</v>
      </c>
      <c r="D412" s="9">
        <v>0.49</v>
      </c>
      <c r="E412" s="9">
        <v>0.54</v>
      </c>
      <c r="F412" s="20">
        <v>-90</v>
      </c>
      <c r="G412" s="20">
        <v>0.13915238099999999</v>
      </c>
      <c r="H412" s="21">
        <v>0.14101598200000001</v>
      </c>
      <c r="K412" s="12">
        <f>MIN(ABS(F412-$B$412), ABS(F412-180-$B$412), ABS(F412+180-$B$412))</f>
        <v>2.019999999999996</v>
      </c>
      <c r="L412" s="13" cm="1">
        <f t="array" ref="L412">SQRT(SUMPRODUCT(G412:G456,K412:K456*K412:K456))</f>
        <v>19.176780343429595</v>
      </c>
      <c r="M412" s="14" cm="1">
        <f t="array" ref="M412">SUMPRODUCT(G412:G456,ABS(K412:K456))</f>
        <v>11.113568979300075</v>
      </c>
    </row>
    <row r="413" spans="1:13" x14ac:dyDescent="0.3">
      <c r="F413" s="20">
        <v>-85.909090909</v>
      </c>
      <c r="G413" s="20">
        <v>0.14589883300000001</v>
      </c>
      <c r="H413" s="21">
        <v>0.14075227300000001</v>
      </c>
      <c r="K413" s="12">
        <f t="shared" ref="K413:K456" si="9">MIN(ABS(F413-$B$412), ABS(F413-180-$B$412), ABS(F413+180-$B$412))</f>
        <v>2.0709090910000043</v>
      </c>
    </row>
    <row r="414" spans="1:13" x14ac:dyDescent="0.3">
      <c r="F414" s="20">
        <v>-81.818181817999999</v>
      </c>
      <c r="G414" s="20">
        <v>0.10084928</v>
      </c>
      <c r="H414" s="21">
        <v>0.106633256</v>
      </c>
      <c r="K414" s="12">
        <f t="shared" si="9"/>
        <v>6.1618181820000046</v>
      </c>
      <c r="L414">
        <f>C412/L412</f>
        <v>0.38431894551710455</v>
      </c>
    </row>
    <row r="415" spans="1:13" x14ac:dyDescent="0.3">
      <c r="F415" s="20">
        <v>-77.727272726999999</v>
      </c>
      <c r="G415" s="20">
        <v>6.4790971000000003E-2</v>
      </c>
      <c r="H415" s="21">
        <v>6.3350363000000007E-2</v>
      </c>
      <c r="K415" s="12">
        <f t="shared" si="9"/>
        <v>10.252727273000005</v>
      </c>
    </row>
    <row r="416" spans="1:13" x14ac:dyDescent="0.3">
      <c r="F416" s="20">
        <v>-73.636363635999999</v>
      </c>
      <c r="G416" s="20">
        <v>3.4697975999999998E-2</v>
      </c>
      <c r="H416" s="21">
        <v>3.2777081999999999E-2</v>
      </c>
      <c r="K416" s="12">
        <f t="shared" si="9"/>
        <v>14.343636364000005</v>
      </c>
    </row>
    <row r="417" spans="6:11" x14ac:dyDescent="0.3">
      <c r="F417" s="20">
        <v>-69.545454544999998</v>
      </c>
      <c r="G417" s="20">
        <v>2.1208233E-2</v>
      </c>
      <c r="H417" s="21">
        <v>1.8551761E-2</v>
      </c>
      <c r="K417" s="12">
        <f t="shared" si="9"/>
        <v>18.434545455000006</v>
      </c>
    </row>
    <row r="418" spans="6:11" x14ac:dyDescent="0.3">
      <c r="F418" s="20">
        <v>-65.454545455000002</v>
      </c>
      <c r="G418" s="20">
        <v>1.1854037E-2</v>
      </c>
      <c r="H418" s="21">
        <v>1.3956056E-2</v>
      </c>
      <c r="K418" s="12">
        <f t="shared" si="9"/>
        <v>22.525454545000002</v>
      </c>
    </row>
    <row r="419" spans="6:11" x14ac:dyDescent="0.3">
      <c r="F419" s="20">
        <v>-61.363636364000001</v>
      </c>
      <c r="G419" s="20">
        <v>8.5093889999999991E-3</v>
      </c>
      <c r="H419" s="21">
        <v>1.2900847E-2</v>
      </c>
      <c r="K419" s="12">
        <f t="shared" si="9"/>
        <v>26.616363636000003</v>
      </c>
    </row>
    <row r="420" spans="6:11" x14ac:dyDescent="0.3">
      <c r="F420" s="20">
        <v>-57.272727273000001</v>
      </c>
      <c r="G420" s="20">
        <v>6.3926679999999998E-3</v>
      </c>
      <c r="H420" s="21">
        <v>1.2726525000000001E-2</v>
      </c>
      <c r="K420" s="12">
        <f t="shared" si="9"/>
        <v>30.707272727000003</v>
      </c>
    </row>
    <row r="421" spans="6:11" x14ac:dyDescent="0.3">
      <c r="F421" s="20">
        <v>-53.181818182000001</v>
      </c>
      <c r="G421" s="20">
        <v>6.1310380000000001E-3</v>
      </c>
      <c r="H421" s="21">
        <v>1.2705655999999999E-2</v>
      </c>
      <c r="K421" s="12">
        <f t="shared" si="9"/>
        <v>34.798181818000003</v>
      </c>
    </row>
    <row r="422" spans="6:11" x14ac:dyDescent="0.3">
      <c r="F422" s="20">
        <v>-49.090909091</v>
      </c>
      <c r="G422" s="20">
        <v>4.4458620000000001E-3</v>
      </c>
      <c r="H422" s="21">
        <v>1.2703838E-2</v>
      </c>
      <c r="K422" s="12">
        <f t="shared" si="9"/>
        <v>38.889090909000004</v>
      </c>
    </row>
    <row r="423" spans="6:11" x14ac:dyDescent="0.3">
      <c r="F423" s="20">
        <v>-45</v>
      </c>
      <c r="G423" s="20">
        <v>4.0078630000000004E-3</v>
      </c>
      <c r="H423" s="21">
        <v>1.2703722000000001E-2</v>
      </c>
      <c r="K423" s="12">
        <f t="shared" si="9"/>
        <v>42.980000000000004</v>
      </c>
    </row>
    <row r="424" spans="6:11" x14ac:dyDescent="0.3">
      <c r="F424" s="20">
        <v>-40.909090909</v>
      </c>
      <c r="G424" s="20">
        <v>3.185294E-3</v>
      </c>
      <c r="H424" s="21">
        <v>1.2703716E-2</v>
      </c>
      <c r="K424" s="12">
        <f t="shared" si="9"/>
        <v>47.070909091000004</v>
      </c>
    </row>
    <row r="425" spans="6:11" x14ac:dyDescent="0.3">
      <c r="F425" s="20">
        <v>-36.818181817999999</v>
      </c>
      <c r="G425" s="20">
        <v>2.8607580000000001E-3</v>
      </c>
      <c r="H425" s="21">
        <v>1.2703716E-2</v>
      </c>
      <c r="K425" s="12">
        <f t="shared" si="9"/>
        <v>51.161818182000005</v>
      </c>
    </row>
    <row r="426" spans="6:11" x14ac:dyDescent="0.3">
      <c r="F426" s="20">
        <v>-32.727272726999999</v>
      </c>
      <c r="G426" s="20">
        <v>2.5252899999999999E-3</v>
      </c>
      <c r="H426" s="21">
        <v>1.2703716E-2</v>
      </c>
      <c r="K426" s="12">
        <f t="shared" si="9"/>
        <v>55.252727273000005</v>
      </c>
    </row>
    <row r="427" spans="6:11" x14ac:dyDescent="0.3">
      <c r="F427" s="20">
        <v>-28.636363635999999</v>
      </c>
      <c r="G427" s="20">
        <v>2.4127480000000001E-3</v>
      </c>
      <c r="H427" s="21">
        <v>1.2703716E-2</v>
      </c>
      <c r="K427" s="12">
        <f t="shared" si="9"/>
        <v>59.343636364000005</v>
      </c>
    </row>
    <row r="428" spans="6:11" x14ac:dyDescent="0.3">
      <c r="F428" s="20">
        <v>-24.545454544999998</v>
      </c>
      <c r="G428" s="20">
        <v>2.4856399999999999E-3</v>
      </c>
      <c r="H428" s="21">
        <v>1.2703716E-2</v>
      </c>
      <c r="K428" s="12">
        <f t="shared" si="9"/>
        <v>63.434545455000006</v>
      </c>
    </row>
    <row r="429" spans="6:11" x14ac:dyDescent="0.3">
      <c r="F429" s="20">
        <v>-20.454545455000002</v>
      </c>
      <c r="G429" s="20">
        <v>2.3624470000000002E-3</v>
      </c>
      <c r="H429" s="21">
        <v>1.2703716E-2</v>
      </c>
      <c r="K429" s="12">
        <f t="shared" si="9"/>
        <v>67.525454545000002</v>
      </c>
    </row>
    <row r="430" spans="6:11" x14ac:dyDescent="0.3">
      <c r="F430" s="20">
        <v>-16.363636364000001</v>
      </c>
      <c r="G430" s="20">
        <v>2.3634609999999999E-3</v>
      </c>
      <c r="H430" s="21">
        <v>1.2703716E-2</v>
      </c>
      <c r="K430" s="12">
        <f t="shared" si="9"/>
        <v>71.616363636000003</v>
      </c>
    </row>
    <row r="431" spans="6:11" x14ac:dyDescent="0.3">
      <c r="F431" s="20">
        <v>-12.272727272999999</v>
      </c>
      <c r="G431" s="20">
        <v>2.4385409999999998E-3</v>
      </c>
      <c r="H431" s="21">
        <v>1.2703716E-2</v>
      </c>
      <c r="K431" s="12">
        <f t="shared" si="9"/>
        <v>75.707272727000003</v>
      </c>
    </row>
    <row r="432" spans="6:11" x14ac:dyDescent="0.3">
      <c r="F432" s="20">
        <v>-8.1818181820000007</v>
      </c>
      <c r="G432" s="20">
        <v>2.3804289999999999E-3</v>
      </c>
      <c r="H432" s="21">
        <v>1.2703716E-2</v>
      </c>
      <c r="K432" s="12">
        <f t="shared" si="9"/>
        <v>79.798181818000003</v>
      </c>
    </row>
    <row r="433" spans="6:11" x14ac:dyDescent="0.3">
      <c r="F433" s="20">
        <v>-4.0909090910000003</v>
      </c>
      <c r="G433" s="20">
        <v>1.825859E-3</v>
      </c>
      <c r="H433" s="21">
        <v>1.2703716E-2</v>
      </c>
      <c r="K433" s="12">
        <f t="shared" si="9"/>
        <v>83.889090909000004</v>
      </c>
    </row>
    <row r="434" spans="6:11" x14ac:dyDescent="0.3">
      <c r="F434" s="20">
        <v>0</v>
      </c>
      <c r="G434" s="20">
        <v>2.204662E-3</v>
      </c>
      <c r="H434" s="21">
        <v>1.2703716E-2</v>
      </c>
      <c r="K434" s="12">
        <f t="shared" si="9"/>
        <v>87.98</v>
      </c>
    </row>
    <row r="435" spans="6:11" x14ac:dyDescent="0.3">
      <c r="F435" s="20">
        <v>4.0909090910000003</v>
      </c>
      <c r="G435" s="20">
        <v>1.7719420000000001E-3</v>
      </c>
      <c r="H435" s="21">
        <v>1.2703716E-2</v>
      </c>
      <c r="K435" s="12">
        <f t="shared" si="9"/>
        <v>87.929090908999981</v>
      </c>
    </row>
    <row r="436" spans="6:11" x14ac:dyDescent="0.3">
      <c r="F436" s="20">
        <v>8.1818181820000007</v>
      </c>
      <c r="G436" s="20">
        <v>2.0257949999999999E-3</v>
      </c>
      <c r="H436" s="21">
        <v>1.2703716E-2</v>
      </c>
      <c r="K436" s="12">
        <f t="shared" si="9"/>
        <v>83.838181817999995</v>
      </c>
    </row>
    <row r="437" spans="6:11" x14ac:dyDescent="0.3">
      <c r="F437" s="20">
        <v>12.272727272999999</v>
      </c>
      <c r="G437" s="20">
        <v>2.2967040000000001E-3</v>
      </c>
      <c r="H437" s="21">
        <v>1.2703716E-2</v>
      </c>
      <c r="K437" s="12">
        <f t="shared" si="9"/>
        <v>79.747272727000009</v>
      </c>
    </row>
    <row r="438" spans="6:11" x14ac:dyDescent="0.3">
      <c r="F438" s="20">
        <v>16.363636364000001</v>
      </c>
      <c r="G438" s="20">
        <v>2.0606589999999998E-3</v>
      </c>
      <c r="H438" s="21">
        <v>1.2703716E-2</v>
      </c>
      <c r="K438" s="12">
        <f t="shared" si="9"/>
        <v>75.656363635999995</v>
      </c>
    </row>
    <row r="439" spans="6:11" x14ac:dyDescent="0.3">
      <c r="F439" s="20">
        <v>20.454545455000002</v>
      </c>
      <c r="G439" s="20">
        <v>2.4588190000000001E-3</v>
      </c>
      <c r="H439" s="21">
        <v>1.2703716E-2</v>
      </c>
      <c r="K439" s="12">
        <f t="shared" si="9"/>
        <v>71.56545454499998</v>
      </c>
    </row>
    <row r="440" spans="6:11" x14ac:dyDescent="0.3">
      <c r="F440" s="20">
        <v>24.545454544999998</v>
      </c>
      <c r="G440" s="20">
        <v>2.2995630000000001E-3</v>
      </c>
      <c r="H440" s="21">
        <v>1.2703716E-2</v>
      </c>
      <c r="K440" s="12">
        <f t="shared" si="9"/>
        <v>67.474545455000012</v>
      </c>
    </row>
    <row r="441" spans="6:11" x14ac:dyDescent="0.3">
      <c r="F441" s="20">
        <v>28.636363635999999</v>
      </c>
      <c r="G441" s="20">
        <v>2.2666930000000002E-3</v>
      </c>
      <c r="H441" s="21">
        <v>1.2703716E-2</v>
      </c>
      <c r="K441" s="12">
        <f t="shared" si="9"/>
        <v>63.383636363999997</v>
      </c>
    </row>
    <row r="442" spans="6:11" x14ac:dyDescent="0.3">
      <c r="F442" s="20">
        <v>32.727272726999999</v>
      </c>
      <c r="G442" s="20">
        <v>2.479256E-3</v>
      </c>
      <c r="H442" s="21">
        <v>1.2703716E-2</v>
      </c>
      <c r="K442" s="12">
        <f t="shared" si="9"/>
        <v>59.292727272999983</v>
      </c>
    </row>
    <row r="443" spans="6:11" x14ac:dyDescent="0.3">
      <c r="F443" s="20">
        <v>36.818181817999999</v>
      </c>
      <c r="G443" s="20">
        <v>3.0255909999999998E-3</v>
      </c>
      <c r="H443" s="21">
        <v>1.2703716E-2</v>
      </c>
      <c r="K443" s="12">
        <f t="shared" si="9"/>
        <v>55.201818181999997</v>
      </c>
    </row>
    <row r="444" spans="6:11" x14ac:dyDescent="0.3">
      <c r="F444" s="20">
        <v>40.909090909</v>
      </c>
      <c r="G444" s="20">
        <v>2.6882080000000001E-3</v>
      </c>
      <c r="H444" s="21">
        <v>1.2703716E-2</v>
      </c>
      <c r="K444" s="12">
        <f t="shared" si="9"/>
        <v>51.110909091000011</v>
      </c>
    </row>
    <row r="445" spans="6:11" x14ac:dyDescent="0.3">
      <c r="F445" s="20">
        <v>45</v>
      </c>
      <c r="G445" s="20">
        <v>3.2927070000000002E-3</v>
      </c>
      <c r="H445" s="21">
        <v>1.2703716E-2</v>
      </c>
      <c r="K445" s="12">
        <f t="shared" si="9"/>
        <v>47.019999999999996</v>
      </c>
    </row>
    <row r="446" spans="6:11" x14ac:dyDescent="0.3">
      <c r="F446" s="20">
        <v>49.090909091</v>
      </c>
      <c r="G446" s="20">
        <v>3.3842910000000002E-3</v>
      </c>
      <c r="H446" s="21">
        <v>1.2703716E-2</v>
      </c>
      <c r="K446" s="12">
        <f t="shared" si="9"/>
        <v>42.929090908999981</v>
      </c>
    </row>
    <row r="447" spans="6:11" x14ac:dyDescent="0.3">
      <c r="F447" s="20">
        <v>53.181818182000001</v>
      </c>
      <c r="G447" s="20">
        <v>3.9121299999999998E-3</v>
      </c>
      <c r="H447" s="21">
        <v>1.2703716E-2</v>
      </c>
      <c r="K447" s="12">
        <f t="shared" si="9"/>
        <v>38.838181817999995</v>
      </c>
    </row>
    <row r="448" spans="6:11" x14ac:dyDescent="0.3">
      <c r="F448" s="20">
        <v>57.272727273000001</v>
      </c>
      <c r="G448" s="20">
        <v>4.0314169999999998E-3</v>
      </c>
      <c r="H448" s="21">
        <v>1.2703716E-2</v>
      </c>
      <c r="K448" s="12">
        <f t="shared" si="9"/>
        <v>34.747272726999995</v>
      </c>
    </row>
    <row r="449" spans="6:11" x14ac:dyDescent="0.3">
      <c r="F449" s="20">
        <v>61.363636364000001</v>
      </c>
      <c r="G449" s="20">
        <v>5.4463949999999997E-3</v>
      </c>
      <c r="H449" s="21">
        <v>1.2703716E-2</v>
      </c>
      <c r="K449" s="12">
        <f t="shared" si="9"/>
        <v>30.656363635999995</v>
      </c>
    </row>
    <row r="450" spans="6:11" x14ac:dyDescent="0.3">
      <c r="F450" s="20">
        <v>65.454545455000002</v>
      </c>
      <c r="G450" s="20">
        <v>8.7559170000000002E-3</v>
      </c>
      <c r="H450" s="21">
        <v>1.2703716E-2</v>
      </c>
      <c r="K450" s="12">
        <f t="shared" si="9"/>
        <v>26.565454544999994</v>
      </c>
    </row>
    <row r="451" spans="6:11" x14ac:dyDescent="0.3">
      <c r="F451" s="20">
        <v>69.545454544999998</v>
      </c>
      <c r="G451" s="20">
        <v>1.4952589000000001E-2</v>
      </c>
      <c r="H451" s="21">
        <v>1.2703716E-2</v>
      </c>
      <c r="K451" s="12">
        <f t="shared" si="9"/>
        <v>22.474545454999998</v>
      </c>
    </row>
    <row r="452" spans="6:11" x14ac:dyDescent="0.3">
      <c r="F452" s="20">
        <v>73.636363635999999</v>
      </c>
      <c r="G452" s="20">
        <v>1.9916247000000002E-2</v>
      </c>
      <c r="H452" s="21">
        <v>1.2703716E-2</v>
      </c>
      <c r="K452" s="12">
        <f t="shared" si="9"/>
        <v>18.383636363999997</v>
      </c>
    </row>
    <row r="453" spans="6:11" x14ac:dyDescent="0.3">
      <c r="F453" s="20">
        <v>77.727272726999999</v>
      </c>
      <c r="G453" s="20">
        <v>3.3452808000000001E-2</v>
      </c>
      <c r="H453" s="21">
        <v>1.2703716E-2</v>
      </c>
      <c r="K453" s="12">
        <f t="shared" si="9"/>
        <v>14.292727272999997</v>
      </c>
    </row>
    <row r="454" spans="6:11" x14ac:dyDescent="0.3">
      <c r="F454" s="20">
        <v>81.818181817999999</v>
      </c>
      <c r="G454" s="20">
        <v>6.5035583999999994E-2</v>
      </c>
      <c r="H454" s="21">
        <v>1.2703716E-2</v>
      </c>
      <c r="K454" s="12">
        <f t="shared" si="9"/>
        <v>10.201818181999997</v>
      </c>
    </row>
    <row r="455" spans="6:11" x14ac:dyDescent="0.3">
      <c r="F455" s="20">
        <v>85.909090909</v>
      </c>
      <c r="G455" s="20">
        <v>0.100310644</v>
      </c>
      <c r="H455" s="21">
        <v>1.2703716E-2</v>
      </c>
      <c r="K455" s="12">
        <f t="shared" si="9"/>
        <v>6.1109090909999964</v>
      </c>
    </row>
    <row r="456" spans="6:11" x14ac:dyDescent="0.3">
      <c r="F456" s="20">
        <v>90</v>
      </c>
      <c r="G456" s="20">
        <v>0.13915238099999999</v>
      </c>
      <c r="H456" s="21">
        <v>1.2703716E-2</v>
      </c>
      <c r="K456" s="12">
        <f t="shared" si="9"/>
        <v>2.019999999999996</v>
      </c>
    </row>
    <row r="457" spans="6:11" x14ac:dyDescent="0.3">
      <c r="F457" s="20"/>
      <c r="G457" s="20"/>
      <c r="H457" s="21"/>
    </row>
    <row r="458" spans="6:11" x14ac:dyDescent="0.3">
      <c r="F458" s="20"/>
      <c r="G458" s="20"/>
      <c r="H458" s="21"/>
    </row>
  </sheetData>
  <conditionalFormatting sqref="K1:K458">
    <cfRule type="cellIs" dxfId="2" priority="1" operator="notBetween">
      <formula>0</formula>
      <formula>90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6"/>
  <sheetViews>
    <sheetView zoomScale="70" zoomScaleNormal="70" workbookViewId="0">
      <selection activeCell="M39" sqref="M39"/>
    </sheetView>
  </sheetViews>
  <sheetFormatPr defaultColWidth="8.6640625" defaultRowHeight="14.4" x14ac:dyDescent="0.3"/>
  <cols>
    <col min="1" max="1" width="31.44140625" bestFit="1" customWidth="1"/>
    <col min="2" max="2" width="15.21875" bestFit="1" customWidth="1"/>
    <col min="3" max="3" width="10.5546875" bestFit="1" customWidth="1"/>
    <col min="4" max="4" width="7.88671875" bestFit="1" customWidth="1"/>
    <col min="5" max="5" width="9.44140625" bestFit="1" customWidth="1"/>
    <col min="6" max="6" width="13.88671875" bestFit="1" customWidth="1"/>
    <col min="7" max="7" width="17.77734375" bestFit="1" customWidth="1"/>
    <col min="8" max="8" width="13.33203125" style="1" bestFit="1" customWidth="1"/>
    <col min="9" max="9" width="19.109375" bestFit="1" customWidth="1"/>
    <col min="10" max="10" width="19.5546875" bestFit="1" customWidth="1"/>
    <col min="11" max="11" width="17" bestFit="1" customWidth="1"/>
    <col min="12" max="12" width="26.88671875" bestFit="1" customWidth="1"/>
    <col min="13" max="13" width="25.77734375" bestFit="1" customWidth="1"/>
  </cols>
  <sheetData>
    <row r="1" spans="1:13" ht="18" x14ac:dyDescent="0.35">
      <c r="A1" s="2" t="s">
        <v>0</v>
      </c>
      <c r="B1" s="3" t="s">
        <v>1</v>
      </c>
      <c r="F1" s="20"/>
      <c r="G1" s="20"/>
      <c r="H1" s="21"/>
    </row>
    <row r="2" spans="1:13" x14ac:dyDescent="0.3">
      <c r="F2" s="20"/>
      <c r="G2" s="20"/>
      <c r="H2" s="21"/>
    </row>
    <row r="3" spans="1:13" x14ac:dyDescent="0.3">
      <c r="F3" s="20"/>
      <c r="G3" s="20"/>
      <c r="H3" s="21"/>
      <c r="I3">
        <f>MIN(2, 3, 0)</f>
        <v>0</v>
      </c>
      <c r="K3" t="s">
        <v>2</v>
      </c>
    </row>
    <row r="4" spans="1:13" x14ac:dyDescent="0.3">
      <c r="A4" s="4" t="s">
        <v>3</v>
      </c>
      <c r="B4" t="s">
        <v>4</v>
      </c>
      <c r="F4" s="20"/>
      <c r="G4" s="20"/>
      <c r="H4" s="21"/>
      <c r="K4" t="s">
        <v>5</v>
      </c>
    </row>
    <row r="5" spans="1:13" x14ac:dyDescent="0.3">
      <c r="F5" s="20"/>
      <c r="G5" s="20"/>
      <c r="H5" s="21"/>
      <c r="I5" t="s">
        <v>6</v>
      </c>
      <c r="J5" t="s">
        <v>6</v>
      </c>
      <c r="K5" t="s">
        <v>7</v>
      </c>
      <c r="L5" t="s">
        <v>7</v>
      </c>
      <c r="M5" t="s">
        <v>7</v>
      </c>
    </row>
    <row r="6" spans="1:13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22" t="s">
        <v>9</v>
      </c>
      <c r="G6" s="22" t="s">
        <v>13</v>
      </c>
      <c r="H6" s="22" t="s">
        <v>14</v>
      </c>
      <c r="I6" s="6" t="s">
        <v>15</v>
      </c>
      <c r="J6" s="7" t="s">
        <v>16</v>
      </c>
      <c r="K6" s="8" t="s">
        <v>17</v>
      </c>
      <c r="L6" t="s">
        <v>18</v>
      </c>
      <c r="M6" t="s">
        <v>19</v>
      </c>
    </row>
    <row r="7" spans="1:13" x14ac:dyDescent="0.3">
      <c r="A7" s="9">
        <v>20241115</v>
      </c>
      <c r="B7" s="9">
        <v>-95.24</v>
      </c>
      <c r="C7" s="9">
        <v>6.95</v>
      </c>
      <c r="D7" s="9" t="s">
        <v>20</v>
      </c>
      <c r="E7" s="9" t="s">
        <v>26</v>
      </c>
      <c r="F7">
        <v>-90</v>
      </c>
      <c r="G7">
        <v>0.16429048900000001</v>
      </c>
      <c r="H7" s="1">
        <v>0.16459786000000001</v>
      </c>
      <c r="K7" s="12">
        <f>MIN(ABS(F7-$B$7), ABS(F7-180-$B$7), ABS(F7+180-$B$7))</f>
        <v>5.2399999999999949</v>
      </c>
      <c r="L7" s="13" cm="1">
        <f t="array" ref="L7">SQRT(SUMPRODUCT(G7:G51,K7:K51*K7:K51))</f>
        <v>21.736371811567281</v>
      </c>
      <c r="M7" s="14" cm="1">
        <f t="array" ref="M7">SUMPRODUCT(G7:G51,ABS(K7:K51))</f>
        <v>13.682885799682625</v>
      </c>
    </row>
    <row r="8" spans="1:13" x14ac:dyDescent="0.3">
      <c r="A8" t="s">
        <v>23</v>
      </c>
      <c r="F8">
        <v>-85.909090909</v>
      </c>
      <c r="G8">
        <v>9.8074158999999994E-2</v>
      </c>
      <c r="H8" s="1">
        <v>9.6316848999999996E-2</v>
      </c>
      <c r="K8" s="12">
        <f t="shared" ref="K8:K51" si="0">MIN(ABS(F8-$B$7), ABS(F8-180-$B$7), ABS(F8+180-$B$7))</f>
        <v>9.3309090909999952</v>
      </c>
    </row>
    <row r="9" spans="1:13" x14ac:dyDescent="0.3">
      <c r="F9">
        <v>-81.818181817999999</v>
      </c>
      <c r="G9">
        <v>4.2004846999999998E-2</v>
      </c>
      <c r="H9" s="1">
        <v>4.6814412E-2</v>
      </c>
      <c r="K9" s="12">
        <f t="shared" si="0"/>
        <v>13.421818181999996</v>
      </c>
    </row>
    <row r="10" spans="1:13" x14ac:dyDescent="0.3">
      <c r="F10">
        <v>-77.727272726999999</v>
      </c>
      <c r="G10">
        <v>3.0914837000000001E-2</v>
      </c>
      <c r="H10" s="1">
        <v>2.4499087999999999E-2</v>
      </c>
      <c r="K10" s="12">
        <f t="shared" si="0"/>
        <v>17.512727272999996</v>
      </c>
    </row>
    <row r="11" spans="1:13" x14ac:dyDescent="0.3">
      <c r="F11">
        <v>-73.636363635999999</v>
      </c>
      <c r="G11">
        <v>1.791717E-2</v>
      </c>
      <c r="H11" s="1">
        <v>1.7820083E-2</v>
      </c>
      <c r="K11" s="12">
        <f t="shared" si="0"/>
        <v>21.603636363999996</v>
      </c>
      <c r="L11">
        <f>C7/L7</f>
        <v>0.31974057401343636</v>
      </c>
    </row>
    <row r="12" spans="1:13" x14ac:dyDescent="0.3">
      <c r="F12">
        <v>-69.545454544999998</v>
      </c>
      <c r="G12">
        <v>1.1464669E-2</v>
      </c>
      <c r="H12" s="1">
        <v>1.6456032999999998E-2</v>
      </c>
      <c r="K12" s="12">
        <f t="shared" si="0"/>
        <v>25.694545454999997</v>
      </c>
    </row>
    <row r="13" spans="1:13" x14ac:dyDescent="0.3">
      <c r="F13">
        <v>-65.454545455000002</v>
      </c>
      <c r="G13">
        <v>1.0135610999999999E-2</v>
      </c>
      <c r="H13" s="1">
        <v>1.6263289E-2</v>
      </c>
      <c r="K13" s="12">
        <f t="shared" si="0"/>
        <v>29.785454544999993</v>
      </c>
    </row>
    <row r="14" spans="1:13" x14ac:dyDescent="0.3">
      <c r="F14">
        <v>-61.363636364000001</v>
      </c>
      <c r="G14">
        <v>7.1473600000000002E-3</v>
      </c>
      <c r="H14" s="1">
        <v>1.6244297000000001E-2</v>
      </c>
      <c r="K14" s="12">
        <f t="shared" si="0"/>
        <v>33.876363635999994</v>
      </c>
    </row>
    <row r="15" spans="1:13" x14ac:dyDescent="0.3">
      <c r="F15">
        <v>-57.272727273000001</v>
      </c>
      <c r="G15">
        <v>5.4682430000000002E-3</v>
      </c>
      <c r="H15" s="1">
        <v>1.6242985000000001E-2</v>
      </c>
      <c r="K15" s="12">
        <f t="shared" si="0"/>
        <v>37.967272726999994</v>
      </c>
    </row>
    <row r="16" spans="1:13" x14ac:dyDescent="0.3">
      <c r="F16">
        <v>-53.181818182000001</v>
      </c>
      <c r="G16">
        <v>4.6074970000000003E-3</v>
      </c>
      <c r="H16" s="1">
        <v>1.6242922E-2</v>
      </c>
      <c r="K16" s="12">
        <f t="shared" si="0"/>
        <v>42.058181817999994</v>
      </c>
    </row>
    <row r="17" spans="6:12" x14ac:dyDescent="0.3">
      <c r="F17">
        <v>-49.090909091</v>
      </c>
      <c r="G17">
        <v>4.6292989999999999E-3</v>
      </c>
      <c r="H17" s="1">
        <v>1.6242920000000001E-2</v>
      </c>
      <c r="K17" s="12">
        <f t="shared" si="0"/>
        <v>46.149090908999995</v>
      </c>
    </row>
    <row r="18" spans="6:12" x14ac:dyDescent="0.3">
      <c r="F18">
        <v>-45</v>
      </c>
      <c r="G18">
        <v>3.853006E-3</v>
      </c>
      <c r="H18" s="1">
        <v>1.6242919000000001E-2</v>
      </c>
      <c r="K18" s="12">
        <f t="shared" si="0"/>
        <v>50.239999999999995</v>
      </c>
    </row>
    <row r="19" spans="6:12" x14ac:dyDescent="0.3">
      <c r="F19">
        <v>-40.909090909</v>
      </c>
      <c r="G19">
        <v>3.3262320000000001E-3</v>
      </c>
      <c r="H19" s="1">
        <v>1.6242919000000001E-2</v>
      </c>
      <c r="K19" s="12">
        <f t="shared" si="0"/>
        <v>54.330909090999995</v>
      </c>
    </row>
    <row r="20" spans="6:12" x14ac:dyDescent="0.3">
      <c r="F20">
        <v>-36.818181817999999</v>
      </c>
      <c r="G20">
        <v>3.1244670000000001E-3</v>
      </c>
      <c r="H20" s="1">
        <v>1.6242919000000001E-2</v>
      </c>
      <c r="K20" s="12">
        <f t="shared" si="0"/>
        <v>58.421818181999996</v>
      </c>
    </row>
    <row r="21" spans="6:12" x14ac:dyDescent="0.3">
      <c r="F21">
        <v>-32.727272726999999</v>
      </c>
      <c r="G21">
        <v>2.9727780000000001E-3</v>
      </c>
      <c r="H21" s="1">
        <v>1.6242919000000001E-2</v>
      </c>
      <c r="K21" s="12">
        <f t="shared" si="0"/>
        <v>62.512727272999996</v>
      </c>
      <c r="L21" s="12"/>
    </row>
    <row r="22" spans="6:12" x14ac:dyDescent="0.3">
      <c r="F22">
        <v>-28.636363635999999</v>
      </c>
      <c r="G22">
        <v>2.780856E-3</v>
      </c>
      <c r="H22" s="1">
        <v>1.6242919000000001E-2</v>
      </c>
      <c r="K22" s="12">
        <f t="shared" si="0"/>
        <v>66.603636363999996</v>
      </c>
    </row>
    <row r="23" spans="6:12" x14ac:dyDescent="0.3">
      <c r="F23">
        <v>-24.545454544999998</v>
      </c>
      <c r="G23">
        <v>2.8412099999999998E-3</v>
      </c>
      <c r="H23" s="1">
        <v>1.6242919000000001E-2</v>
      </c>
      <c r="K23" s="12">
        <f t="shared" si="0"/>
        <v>70.694545454999997</v>
      </c>
    </row>
    <row r="24" spans="6:12" x14ac:dyDescent="0.3">
      <c r="F24">
        <v>-20.454545455000002</v>
      </c>
      <c r="G24">
        <v>2.7757400000000001E-3</v>
      </c>
      <c r="H24" s="1">
        <v>1.6242919000000001E-2</v>
      </c>
      <c r="K24" s="12">
        <f t="shared" si="0"/>
        <v>74.785454544999993</v>
      </c>
    </row>
    <row r="25" spans="6:12" x14ac:dyDescent="0.3">
      <c r="F25">
        <v>-16.363636364000001</v>
      </c>
      <c r="G25">
        <v>2.8398989999999999E-3</v>
      </c>
      <c r="H25" s="1">
        <v>1.6242919000000001E-2</v>
      </c>
      <c r="K25" s="12">
        <f t="shared" si="0"/>
        <v>78.876363635999994</v>
      </c>
    </row>
    <row r="26" spans="6:12" x14ac:dyDescent="0.3">
      <c r="F26">
        <v>-12.272727272999999</v>
      </c>
      <c r="G26">
        <v>2.653917E-3</v>
      </c>
      <c r="H26" s="1">
        <v>1.6242919000000001E-2</v>
      </c>
      <c r="K26" s="12">
        <f t="shared" si="0"/>
        <v>82.967272726999994</v>
      </c>
    </row>
    <row r="27" spans="6:12" x14ac:dyDescent="0.3">
      <c r="F27">
        <v>-8.1818181820000007</v>
      </c>
      <c r="G27">
        <v>2.7780859999999999E-3</v>
      </c>
      <c r="H27" s="1">
        <v>1.6242919000000001E-2</v>
      </c>
      <c r="K27" s="12">
        <f t="shared" si="0"/>
        <v>87.058181817999994</v>
      </c>
    </row>
    <row r="28" spans="6:12" x14ac:dyDescent="0.3">
      <c r="F28">
        <v>-4.0909090910000003</v>
      </c>
      <c r="G28">
        <v>2.654399E-3</v>
      </c>
      <c r="H28" s="1">
        <v>1.6242919000000001E-2</v>
      </c>
      <c r="K28" s="12">
        <f t="shared" si="0"/>
        <v>88.85090909100002</v>
      </c>
    </row>
    <row r="29" spans="6:12" x14ac:dyDescent="0.3">
      <c r="F29">
        <v>0</v>
      </c>
      <c r="G29">
        <v>2.7546699999999999E-3</v>
      </c>
      <c r="H29" s="1">
        <v>1.6242919000000001E-2</v>
      </c>
      <c r="K29" s="12">
        <f t="shared" si="0"/>
        <v>84.76</v>
      </c>
    </row>
    <row r="30" spans="6:12" x14ac:dyDescent="0.3">
      <c r="F30">
        <v>4.0909090910000003</v>
      </c>
      <c r="G30">
        <v>2.6951140000000002E-3</v>
      </c>
      <c r="H30" s="1">
        <v>1.6242919000000001E-2</v>
      </c>
      <c r="K30" s="12">
        <f t="shared" si="0"/>
        <v>80.669090908999991</v>
      </c>
    </row>
    <row r="31" spans="6:12" x14ac:dyDescent="0.3">
      <c r="F31">
        <v>8.1818181820000007</v>
      </c>
      <c r="G31">
        <v>2.966364E-3</v>
      </c>
      <c r="H31" s="1">
        <v>1.6242919000000001E-2</v>
      </c>
      <c r="K31" s="12">
        <f t="shared" si="0"/>
        <v>76.578181818000004</v>
      </c>
    </row>
    <row r="32" spans="6:12" x14ac:dyDescent="0.3">
      <c r="F32">
        <v>12.272727272999999</v>
      </c>
      <c r="G32">
        <v>2.938801E-3</v>
      </c>
      <c r="H32" s="1">
        <v>1.6242919000000001E-2</v>
      </c>
      <c r="K32" s="12">
        <f t="shared" si="0"/>
        <v>72.487272727000018</v>
      </c>
    </row>
    <row r="33" spans="6:11" x14ac:dyDescent="0.3">
      <c r="F33">
        <v>16.363636364000001</v>
      </c>
      <c r="G33">
        <v>2.8706109999999999E-3</v>
      </c>
      <c r="H33" s="1">
        <v>1.6242919000000001E-2</v>
      </c>
      <c r="K33" s="12">
        <f t="shared" si="0"/>
        <v>68.396363636000004</v>
      </c>
    </row>
    <row r="34" spans="6:11" x14ac:dyDescent="0.3">
      <c r="F34">
        <v>20.454545455000002</v>
      </c>
      <c r="G34">
        <v>3.049656E-3</v>
      </c>
      <c r="H34" s="1">
        <v>1.6242919000000001E-2</v>
      </c>
      <c r="K34" s="12">
        <f t="shared" si="0"/>
        <v>64.305454544999989</v>
      </c>
    </row>
    <row r="35" spans="6:11" x14ac:dyDescent="0.3">
      <c r="F35">
        <v>24.545454544999998</v>
      </c>
      <c r="G35">
        <v>3.3917790000000001E-3</v>
      </c>
      <c r="H35" s="1">
        <v>1.6242919000000001E-2</v>
      </c>
      <c r="K35" s="12">
        <f t="shared" si="0"/>
        <v>60.214545455000021</v>
      </c>
    </row>
    <row r="36" spans="6:11" x14ac:dyDescent="0.3">
      <c r="F36">
        <v>28.636363635999999</v>
      </c>
      <c r="G36">
        <v>3.4230089999999999E-3</v>
      </c>
      <c r="H36" s="1">
        <v>1.6242919000000001E-2</v>
      </c>
      <c r="K36" s="12">
        <f t="shared" si="0"/>
        <v>56.123636364000006</v>
      </c>
    </row>
    <row r="37" spans="6:11" x14ac:dyDescent="0.3">
      <c r="F37">
        <v>32.727272726999999</v>
      </c>
      <c r="G37">
        <v>3.8512609999999999E-3</v>
      </c>
      <c r="H37" s="1">
        <v>1.6242919000000001E-2</v>
      </c>
      <c r="K37" s="12">
        <f t="shared" si="0"/>
        <v>52.032727272999992</v>
      </c>
    </row>
    <row r="38" spans="6:11" x14ac:dyDescent="0.3">
      <c r="F38">
        <v>36.818181817999999</v>
      </c>
      <c r="G38">
        <v>4.3959070000000001E-3</v>
      </c>
      <c r="H38" s="1">
        <v>1.6242919000000001E-2</v>
      </c>
      <c r="K38" s="12">
        <f t="shared" si="0"/>
        <v>47.941818182000006</v>
      </c>
    </row>
    <row r="39" spans="6:11" x14ac:dyDescent="0.3">
      <c r="F39">
        <v>40.909090909</v>
      </c>
      <c r="G39">
        <v>4.755881E-3</v>
      </c>
      <c r="H39" s="1">
        <v>1.6242919000000001E-2</v>
      </c>
      <c r="K39" s="12">
        <f t="shared" si="0"/>
        <v>43.85090909100002</v>
      </c>
    </row>
    <row r="40" spans="6:11" x14ac:dyDescent="0.3">
      <c r="F40">
        <v>45</v>
      </c>
      <c r="G40">
        <v>5.9093390000000004E-3</v>
      </c>
      <c r="H40" s="1">
        <v>1.6242919000000001E-2</v>
      </c>
      <c r="K40" s="12">
        <f t="shared" si="0"/>
        <v>39.760000000000005</v>
      </c>
    </row>
    <row r="41" spans="6:11" x14ac:dyDescent="0.3">
      <c r="F41">
        <v>49.090909091</v>
      </c>
      <c r="G41">
        <v>6.8503369999999997E-3</v>
      </c>
      <c r="H41" s="1">
        <v>1.6242919000000001E-2</v>
      </c>
      <c r="K41" s="12">
        <f t="shared" si="0"/>
        <v>35.669090908999991</v>
      </c>
    </row>
    <row r="42" spans="6:11" x14ac:dyDescent="0.3">
      <c r="F42">
        <v>53.181818182000001</v>
      </c>
      <c r="G42">
        <v>8.1088380000000002E-3</v>
      </c>
      <c r="H42" s="1">
        <v>1.6242919000000001E-2</v>
      </c>
      <c r="K42" s="12">
        <f t="shared" si="0"/>
        <v>31.578181818000004</v>
      </c>
    </row>
    <row r="43" spans="6:11" x14ac:dyDescent="0.3">
      <c r="F43">
        <v>57.272727273000001</v>
      </c>
      <c r="G43">
        <v>1.1021512000000001E-2</v>
      </c>
      <c r="H43" s="1">
        <v>1.6242919000000001E-2</v>
      </c>
      <c r="K43" s="12">
        <f t="shared" si="0"/>
        <v>27.487272727000004</v>
      </c>
    </row>
    <row r="44" spans="6:11" x14ac:dyDescent="0.3">
      <c r="F44">
        <v>61.363636364000001</v>
      </c>
      <c r="G44">
        <v>1.5383803999999999E-2</v>
      </c>
      <c r="H44" s="1">
        <v>1.6242919000000001E-2</v>
      </c>
      <c r="K44" s="12">
        <f t="shared" si="0"/>
        <v>23.396363636000004</v>
      </c>
    </row>
    <row r="45" spans="6:11" x14ac:dyDescent="0.3">
      <c r="F45">
        <v>65.454545455000002</v>
      </c>
      <c r="G45">
        <v>2.2473974000000001E-2</v>
      </c>
      <c r="H45" s="1">
        <v>1.6242919000000001E-2</v>
      </c>
      <c r="K45" s="12">
        <f t="shared" si="0"/>
        <v>19.305454545000003</v>
      </c>
    </row>
    <row r="46" spans="6:11" x14ac:dyDescent="0.3">
      <c r="F46">
        <v>69.545454544999998</v>
      </c>
      <c r="G46">
        <v>3.3215959000000003E-2</v>
      </c>
      <c r="H46" s="1">
        <v>1.6242919000000001E-2</v>
      </c>
      <c r="K46" s="12">
        <f t="shared" si="0"/>
        <v>15.214545455000007</v>
      </c>
    </row>
    <row r="47" spans="6:11" x14ac:dyDescent="0.3">
      <c r="F47">
        <v>73.636363635999999</v>
      </c>
      <c r="G47">
        <v>4.5715506000000003E-2</v>
      </c>
      <c r="H47" s="1">
        <v>1.6242919000000001E-2</v>
      </c>
      <c r="K47" s="12">
        <f t="shared" si="0"/>
        <v>11.123636364000006</v>
      </c>
    </row>
    <row r="48" spans="6:11" x14ac:dyDescent="0.3">
      <c r="F48">
        <v>77.727272726999999</v>
      </c>
      <c r="G48">
        <v>5.5405532E-2</v>
      </c>
      <c r="H48" s="1">
        <v>1.6242919000000001E-2</v>
      </c>
      <c r="K48" s="12">
        <f t="shared" si="0"/>
        <v>7.0327272730000061</v>
      </c>
    </row>
    <row r="49" spans="1:13" x14ac:dyDescent="0.3">
      <c r="F49">
        <v>81.818181817999999</v>
      </c>
      <c r="G49">
        <v>6.5127600999999993E-2</v>
      </c>
      <c r="H49" s="1">
        <v>1.6242919000000001E-2</v>
      </c>
      <c r="K49" s="12">
        <f t="shared" si="0"/>
        <v>2.9418181820000058</v>
      </c>
    </row>
    <row r="50" spans="1:13" x14ac:dyDescent="0.3">
      <c r="F50">
        <v>85.909090909</v>
      </c>
      <c r="G50">
        <v>0.100149285</v>
      </c>
      <c r="H50" s="1">
        <v>1.6242919000000001E-2</v>
      </c>
      <c r="K50" s="12">
        <f t="shared" si="0"/>
        <v>1.1490909089999946</v>
      </c>
    </row>
    <row r="51" spans="1:13" s="15" customFormat="1" x14ac:dyDescent="0.3">
      <c r="F51" s="15">
        <v>90</v>
      </c>
      <c r="G51" s="15">
        <v>0.16429048900000001</v>
      </c>
      <c r="H51" s="16">
        <v>1.6242919000000001E-2</v>
      </c>
      <c r="K51" s="12">
        <f t="shared" si="0"/>
        <v>5.2399999999999949</v>
      </c>
    </row>
    <row r="52" spans="1:13" x14ac:dyDescent="0.3">
      <c r="A52" s="9">
        <v>20241115</v>
      </c>
      <c r="B52" s="9">
        <v>81.63</v>
      </c>
      <c r="C52" s="9">
        <v>11.08</v>
      </c>
      <c r="D52" s="9">
        <v>0.57999999999999996</v>
      </c>
      <c r="E52" s="9">
        <v>0.74</v>
      </c>
      <c r="F52">
        <v>-90</v>
      </c>
      <c r="G52">
        <v>8.0717790999999997E-2</v>
      </c>
      <c r="H52" s="1">
        <v>1.0924918E-2</v>
      </c>
      <c r="K52" s="12">
        <f>MIN(ABS(F52-$B$52), ABS(F52-180-$B$52), ABS(F52+180-$B$52))</f>
        <v>8.3700000000000045</v>
      </c>
      <c r="L52" s="13" cm="1">
        <f t="array" ref="L52">SQRT(SUMPRODUCT(G52:G96,K52:K96*K52:K96))</f>
        <v>24.341063334028771</v>
      </c>
      <c r="M52" s="14" cm="1">
        <f t="array" ref="M52">SUMPRODUCT(G52:G96,ABS(K52:K96))</f>
        <v>16.265846540424164</v>
      </c>
    </row>
    <row r="53" spans="1:13" x14ac:dyDescent="0.3">
      <c r="F53">
        <v>-85.909090909</v>
      </c>
      <c r="G53">
        <v>5.2811466000000001E-2</v>
      </c>
      <c r="H53" s="1">
        <v>1.0924918E-2</v>
      </c>
      <c r="K53" s="12">
        <f t="shared" ref="K53:K96" si="1">MIN(ABS(F53-$B$52), ABS(F53-180-$B$52), ABS(F53+180-$B$52))</f>
        <v>12.460909091000005</v>
      </c>
    </row>
    <row r="54" spans="1:13" x14ac:dyDescent="0.3">
      <c r="F54">
        <v>-81.818181817999999</v>
      </c>
      <c r="G54">
        <v>4.4780279999999999E-2</v>
      </c>
      <c r="H54" s="1">
        <v>1.0924918E-2</v>
      </c>
      <c r="K54" s="12">
        <f t="shared" si="1"/>
        <v>16.551818182000005</v>
      </c>
    </row>
    <row r="55" spans="1:13" x14ac:dyDescent="0.3">
      <c r="F55">
        <v>-77.727272726999999</v>
      </c>
      <c r="G55">
        <v>2.9166488000000001E-2</v>
      </c>
      <c r="H55" s="1">
        <v>1.0924918E-2</v>
      </c>
      <c r="K55" s="12">
        <f t="shared" si="1"/>
        <v>20.642727273000006</v>
      </c>
    </row>
    <row r="56" spans="1:13" x14ac:dyDescent="0.3">
      <c r="F56">
        <v>-73.636363635999999</v>
      </c>
      <c r="G56">
        <v>1.9226027E-2</v>
      </c>
      <c r="H56" s="1">
        <v>1.0924918E-2</v>
      </c>
      <c r="K56" s="12">
        <f t="shared" si="1"/>
        <v>24.733636364000006</v>
      </c>
    </row>
    <row r="57" spans="1:13" x14ac:dyDescent="0.3">
      <c r="F57">
        <v>-69.545454544999998</v>
      </c>
      <c r="G57">
        <v>1.3659734999999999E-2</v>
      </c>
      <c r="H57" s="1">
        <v>1.0924918E-2</v>
      </c>
      <c r="K57" s="12">
        <f t="shared" si="1"/>
        <v>28.824545455000006</v>
      </c>
      <c r="L57">
        <f>C52/L52</f>
        <v>0.45519786247424021</v>
      </c>
    </row>
    <row r="58" spans="1:13" x14ac:dyDescent="0.3">
      <c r="F58">
        <v>-65.454545455000002</v>
      </c>
      <c r="G58">
        <v>1.0456803000000001E-2</v>
      </c>
      <c r="H58" s="1">
        <v>1.0924918E-2</v>
      </c>
      <c r="K58" s="12">
        <f t="shared" si="1"/>
        <v>32.915454545000003</v>
      </c>
    </row>
    <row r="59" spans="1:13" x14ac:dyDescent="0.3">
      <c r="F59">
        <v>-61.363636364000001</v>
      </c>
      <c r="G59">
        <v>8.1377659999999994E-3</v>
      </c>
      <c r="H59" s="1">
        <v>1.0924918E-2</v>
      </c>
      <c r="K59" s="12">
        <f t="shared" si="1"/>
        <v>37.006363636000003</v>
      </c>
    </row>
    <row r="60" spans="1:13" x14ac:dyDescent="0.3">
      <c r="F60">
        <v>-57.272727273000001</v>
      </c>
      <c r="G60">
        <v>6.6707479999999998E-3</v>
      </c>
      <c r="H60" s="1">
        <v>1.0924918E-2</v>
      </c>
      <c r="K60" s="12">
        <f t="shared" si="1"/>
        <v>41.097272727000004</v>
      </c>
    </row>
    <row r="61" spans="1:13" x14ac:dyDescent="0.3">
      <c r="F61">
        <v>-53.181818182000001</v>
      </c>
      <c r="G61">
        <v>5.8410880000000004E-3</v>
      </c>
      <c r="H61" s="1">
        <v>1.0924918E-2</v>
      </c>
      <c r="K61" s="12">
        <f t="shared" si="1"/>
        <v>45.188181818000004</v>
      </c>
    </row>
    <row r="62" spans="1:13" x14ac:dyDescent="0.3">
      <c r="F62">
        <v>-49.090909091</v>
      </c>
      <c r="G62">
        <v>5.2600290000000003E-3</v>
      </c>
      <c r="H62" s="1">
        <v>1.0924918E-2</v>
      </c>
      <c r="K62" s="12">
        <f t="shared" si="1"/>
        <v>49.27909090899999</v>
      </c>
    </row>
    <row r="63" spans="1:13" x14ac:dyDescent="0.3">
      <c r="F63">
        <v>-45</v>
      </c>
      <c r="G63">
        <v>4.6647930000000004E-3</v>
      </c>
      <c r="H63" s="1">
        <v>1.0924918E-2</v>
      </c>
      <c r="K63" s="12">
        <f t="shared" si="1"/>
        <v>53.370000000000005</v>
      </c>
    </row>
    <row r="64" spans="1:13" x14ac:dyDescent="0.3">
      <c r="F64">
        <v>-40.909090909</v>
      </c>
      <c r="G64">
        <v>3.9148799999999999E-3</v>
      </c>
      <c r="H64" s="1">
        <v>1.0924918E-2</v>
      </c>
      <c r="K64" s="12">
        <f t="shared" si="1"/>
        <v>57.460909091000019</v>
      </c>
    </row>
    <row r="65" spans="6:11" x14ac:dyDescent="0.3">
      <c r="F65">
        <v>-36.818181817999999</v>
      </c>
      <c r="G65">
        <v>3.633561E-3</v>
      </c>
      <c r="H65" s="1">
        <v>1.0924918E-2</v>
      </c>
      <c r="K65" s="12">
        <f t="shared" si="1"/>
        <v>61.551818182000005</v>
      </c>
    </row>
    <row r="66" spans="6:11" x14ac:dyDescent="0.3">
      <c r="F66">
        <v>-32.727272726999999</v>
      </c>
      <c r="G66">
        <v>3.6587410000000001E-3</v>
      </c>
      <c r="H66" s="1">
        <v>1.0924918E-2</v>
      </c>
      <c r="K66" s="12">
        <f t="shared" si="1"/>
        <v>65.642727272999991</v>
      </c>
    </row>
    <row r="67" spans="6:11" x14ac:dyDescent="0.3">
      <c r="F67">
        <v>-28.636363635999999</v>
      </c>
      <c r="G67">
        <v>3.5062510000000002E-3</v>
      </c>
      <c r="H67" s="1">
        <v>1.0924918E-2</v>
      </c>
      <c r="K67" s="12">
        <f t="shared" si="1"/>
        <v>69.733636364000006</v>
      </c>
    </row>
    <row r="68" spans="6:11" x14ac:dyDescent="0.3">
      <c r="F68">
        <v>-24.545454544999998</v>
      </c>
      <c r="G68">
        <v>3.3224449999999998E-3</v>
      </c>
      <c r="H68" s="1">
        <v>1.0924918E-2</v>
      </c>
      <c r="K68" s="12">
        <f t="shared" si="1"/>
        <v>73.82454545500002</v>
      </c>
    </row>
    <row r="69" spans="6:11" x14ac:dyDescent="0.3">
      <c r="F69">
        <v>-20.454545455000002</v>
      </c>
      <c r="G69">
        <v>3.2463460000000002E-3</v>
      </c>
      <c r="H69" s="1">
        <v>1.0924918E-2</v>
      </c>
      <c r="K69" s="12">
        <f t="shared" si="1"/>
        <v>77.915454544999989</v>
      </c>
    </row>
    <row r="70" spans="6:11" x14ac:dyDescent="0.3">
      <c r="F70">
        <v>-16.363636364000001</v>
      </c>
      <c r="G70">
        <v>3.3514719999999999E-3</v>
      </c>
      <c r="H70" s="1">
        <v>1.0924918E-2</v>
      </c>
      <c r="K70" s="12">
        <f t="shared" si="1"/>
        <v>82.006363636000003</v>
      </c>
    </row>
    <row r="71" spans="6:11" x14ac:dyDescent="0.3">
      <c r="F71">
        <v>-12.272727272999999</v>
      </c>
      <c r="G71">
        <v>3.204358E-3</v>
      </c>
      <c r="H71" s="1">
        <v>1.0924918E-2</v>
      </c>
      <c r="K71" s="12">
        <f t="shared" si="1"/>
        <v>86.097272727000018</v>
      </c>
    </row>
    <row r="72" spans="6:11" x14ac:dyDescent="0.3">
      <c r="F72">
        <v>-8.1818181820000007</v>
      </c>
      <c r="G72">
        <v>3.1704789999999999E-3</v>
      </c>
      <c r="H72" s="1">
        <v>1.0924918E-2</v>
      </c>
      <c r="K72" s="12">
        <f t="shared" si="1"/>
        <v>89.811818181999996</v>
      </c>
    </row>
    <row r="73" spans="6:11" x14ac:dyDescent="0.3">
      <c r="F73">
        <v>-4.0909090910000003</v>
      </c>
      <c r="G73">
        <v>3.1403619999999998E-3</v>
      </c>
      <c r="H73" s="1">
        <v>1.0924918E-2</v>
      </c>
      <c r="K73" s="12">
        <f t="shared" si="1"/>
        <v>85.720909090999996</v>
      </c>
    </row>
    <row r="74" spans="6:11" x14ac:dyDescent="0.3">
      <c r="F74">
        <v>0</v>
      </c>
      <c r="G74">
        <v>3.395585E-3</v>
      </c>
      <c r="H74" s="1">
        <v>1.0924918E-2</v>
      </c>
      <c r="K74" s="12">
        <f t="shared" si="1"/>
        <v>81.63</v>
      </c>
    </row>
    <row r="75" spans="6:11" x14ac:dyDescent="0.3">
      <c r="F75">
        <v>4.0909090910000003</v>
      </c>
      <c r="G75">
        <v>3.4175299999999998E-3</v>
      </c>
      <c r="H75" s="1">
        <v>1.0924918E-2</v>
      </c>
      <c r="K75" s="12">
        <f t="shared" si="1"/>
        <v>77.539090908999995</v>
      </c>
    </row>
    <row r="76" spans="6:11" x14ac:dyDescent="0.3">
      <c r="F76">
        <v>8.1818181820000007</v>
      </c>
      <c r="G76">
        <v>3.5511319999999998E-3</v>
      </c>
      <c r="H76" s="1">
        <v>1.0924918E-2</v>
      </c>
      <c r="K76" s="12">
        <f t="shared" si="1"/>
        <v>73.448181817999995</v>
      </c>
    </row>
    <row r="77" spans="6:11" x14ac:dyDescent="0.3">
      <c r="F77">
        <v>12.272727272999999</v>
      </c>
      <c r="G77">
        <v>3.7310389999999998E-3</v>
      </c>
      <c r="H77" s="1">
        <v>1.0924918E-2</v>
      </c>
      <c r="K77" s="12">
        <f t="shared" si="1"/>
        <v>69.357272726999994</v>
      </c>
    </row>
    <row r="78" spans="6:11" x14ac:dyDescent="0.3">
      <c r="F78">
        <v>16.363636364000001</v>
      </c>
      <c r="G78">
        <v>3.8065870000000002E-3</v>
      </c>
      <c r="H78" s="1">
        <v>1.0924919999999999E-2</v>
      </c>
      <c r="K78" s="12">
        <f t="shared" si="1"/>
        <v>65.266363635999994</v>
      </c>
    </row>
    <row r="79" spans="6:11" x14ac:dyDescent="0.3">
      <c r="F79">
        <v>20.454545455000002</v>
      </c>
      <c r="G79">
        <v>4.1258939999999997E-3</v>
      </c>
      <c r="H79" s="1">
        <v>1.0924939E-2</v>
      </c>
      <c r="K79" s="12">
        <f t="shared" si="1"/>
        <v>61.175454544999994</v>
      </c>
    </row>
    <row r="80" spans="6:11" x14ac:dyDescent="0.3">
      <c r="F80">
        <v>24.545454544999998</v>
      </c>
      <c r="G80">
        <v>4.3705699999999998E-3</v>
      </c>
      <c r="H80" s="1">
        <v>1.0925074E-2</v>
      </c>
      <c r="K80" s="12">
        <f t="shared" si="1"/>
        <v>57.084545454999997</v>
      </c>
    </row>
    <row r="81" spans="6:11" x14ac:dyDescent="0.3">
      <c r="F81">
        <v>28.636363635999999</v>
      </c>
      <c r="G81">
        <v>4.7433229999999998E-3</v>
      </c>
      <c r="H81" s="1">
        <v>1.0925895999999999E-2</v>
      </c>
      <c r="K81" s="12">
        <f t="shared" si="1"/>
        <v>52.993636363999997</v>
      </c>
    </row>
    <row r="82" spans="6:11" x14ac:dyDescent="0.3">
      <c r="F82">
        <v>32.727272726999999</v>
      </c>
      <c r="G82">
        <v>5.4604409999999999E-3</v>
      </c>
      <c r="H82" s="1">
        <v>1.0930261E-2</v>
      </c>
      <c r="K82" s="12">
        <f t="shared" si="1"/>
        <v>48.902727272999996</v>
      </c>
    </row>
    <row r="83" spans="6:11" x14ac:dyDescent="0.3">
      <c r="F83">
        <v>36.818181817999999</v>
      </c>
      <c r="G83">
        <v>6.2990650000000004E-3</v>
      </c>
      <c r="H83" s="1">
        <v>1.0950367000000001E-2</v>
      </c>
      <c r="K83" s="12">
        <f t="shared" si="1"/>
        <v>44.811818181999996</v>
      </c>
    </row>
    <row r="84" spans="6:11" x14ac:dyDescent="0.3">
      <c r="F84">
        <v>40.909090909</v>
      </c>
      <c r="G84">
        <v>7.1584480000000004E-3</v>
      </c>
      <c r="H84" s="1">
        <v>1.1030692E-2</v>
      </c>
      <c r="K84" s="12">
        <f t="shared" si="1"/>
        <v>40.720909090999996</v>
      </c>
    </row>
    <row r="85" spans="6:11" x14ac:dyDescent="0.3">
      <c r="F85">
        <v>45</v>
      </c>
      <c r="G85">
        <v>8.6671290000000008E-3</v>
      </c>
      <c r="H85" s="1">
        <v>1.1308538999999999E-2</v>
      </c>
      <c r="K85" s="12">
        <f t="shared" si="1"/>
        <v>36.629999999999995</v>
      </c>
    </row>
    <row r="86" spans="6:11" x14ac:dyDescent="0.3">
      <c r="F86">
        <v>49.090909091</v>
      </c>
      <c r="G86">
        <v>1.0027393000000001E-2</v>
      </c>
      <c r="H86" s="1">
        <v>1.2138980000000001E-2</v>
      </c>
      <c r="K86" s="12">
        <f t="shared" si="1"/>
        <v>32.539090908999995</v>
      </c>
    </row>
    <row r="87" spans="6:11" x14ac:dyDescent="0.3">
      <c r="F87">
        <v>53.181818182000001</v>
      </c>
      <c r="G87">
        <v>1.3020356E-2</v>
      </c>
      <c r="H87" s="1">
        <v>1.4277631000000001E-2</v>
      </c>
      <c r="K87" s="12">
        <f t="shared" si="1"/>
        <v>28.448181817999995</v>
      </c>
    </row>
    <row r="88" spans="6:11" x14ac:dyDescent="0.3">
      <c r="F88">
        <v>57.272727273000001</v>
      </c>
      <c r="G88">
        <v>1.8322693000000001E-2</v>
      </c>
      <c r="H88" s="1">
        <v>1.9004119999999999E-2</v>
      </c>
      <c r="K88" s="12">
        <f t="shared" si="1"/>
        <v>24.357272726999994</v>
      </c>
    </row>
    <row r="89" spans="6:11" x14ac:dyDescent="0.3">
      <c r="F89">
        <v>61.363636364000001</v>
      </c>
      <c r="G89">
        <v>2.9861591E-2</v>
      </c>
      <c r="H89" s="1">
        <v>2.7913507000000001E-2</v>
      </c>
      <c r="K89" s="12">
        <f t="shared" si="1"/>
        <v>20.266363635999994</v>
      </c>
    </row>
    <row r="90" spans="6:11" x14ac:dyDescent="0.3">
      <c r="F90">
        <v>65.454545455000002</v>
      </c>
      <c r="G90">
        <v>4.3827396999999997E-2</v>
      </c>
      <c r="H90" s="1">
        <v>4.2096789000000003E-2</v>
      </c>
      <c r="K90" s="12">
        <f t="shared" si="1"/>
        <v>16.175454544999994</v>
      </c>
    </row>
    <row r="91" spans="6:11" x14ac:dyDescent="0.3">
      <c r="F91">
        <v>69.545454544999998</v>
      </c>
      <c r="G91">
        <v>5.6518112000000002E-2</v>
      </c>
      <c r="H91" s="1">
        <v>6.0834643000000001E-2</v>
      </c>
      <c r="K91" s="12">
        <f t="shared" si="1"/>
        <v>12.084545454999997</v>
      </c>
    </row>
    <row r="92" spans="6:11" x14ac:dyDescent="0.3">
      <c r="F92">
        <v>73.636363635999999</v>
      </c>
      <c r="G92">
        <v>8.2830698999999994E-2</v>
      </c>
      <c r="H92" s="1">
        <v>8.0655649999999995E-2</v>
      </c>
      <c r="K92" s="12">
        <f t="shared" si="1"/>
        <v>7.9936363639999968</v>
      </c>
    </row>
    <row r="93" spans="6:11" x14ac:dyDescent="0.3">
      <c r="F93">
        <v>77.727272726999999</v>
      </c>
      <c r="G93">
        <v>9.6934316000000006E-2</v>
      </c>
      <c r="H93" s="1">
        <v>9.5936874000000005E-2</v>
      </c>
      <c r="K93" s="12">
        <f t="shared" si="1"/>
        <v>3.9027272729999964</v>
      </c>
    </row>
    <row r="94" spans="6:11" x14ac:dyDescent="0.3">
      <c r="F94">
        <v>81.818181817999999</v>
      </c>
      <c r="G94">
        <v>0.101386422</v>
      </c>
      <c r="H94" s="1">
        <v>0.10136325</v>
      </c>
      <c r="K94" s="12">
        <f t="shared" si="1"/>
        <v>0.18818181800000389</v>
      </c>
    </row>
    <row r="95" spans="6:11" x14ac:dyDescent="0.3">
      <c r="F95">
        <v>85.909090909</v>
      </c>
      <c r="G95">
        <v>9.2284577000000007E-2</v>
      </c>
      <c r="H95" s="1">
        <v>9.4879000000000005E-2</v>
      </c>
      <c r="K95" s="12">
        <f t="shared" si="1"/>
        <v>4.2790909090000042</v>
      </c>
    </row>
    <row r="96" spans="6:11" s="15" customFormat="1" x14ac:dyDescent="0.3">
      <c r="F96" s="15">
        <v>90</v>
      </c>
      <c r="G96" s="15">
        <v>8.0717790999999997E-2</v>
      </c>
      <c r="H96" s="16">
        <v>7.8931012999999994E-2</v>
      </c>
      <c r="K96" s="12">
        <f t="shared" si="1"/>
        <v>8.3700000000000045</v>
      </c>
    </row>
    <row r="97" spans="1:13" x14ac:dyDescent="0.3">
      <c r="A97" s="9">
        <v>20241115</v>
      </c>
      <c r="B97" s="9">
        <v>74.56</v>
      </c>
      <c r="C97" s="9">
        <v>10.26</v>
      </c>
      <c r="D97" s="9">
        <v>0.53</v>
      </c>
      <c r="E97" s="9">
        <v>0.88</v>
      </c>
      <c r="F97">
        <v>-90</v>
      </c>
      <c r="G97">
        <v>4.6988442999999998E-2</v>
      </c>
      <c r="H97" s="1">
        <v>1.2856490999999999E-2</v>
      </c>
      <c r="K97" s="12">
        <f>MIN(ABS(F97-$B$97), ABS(F97-180-$B$97), ABS(F97+180-$B$97))</f>
        <v>15.439999999999998</v>
      </c>
      <c r="L97" s="13" cm="1">
        <f t="array" ref="L97">SQRT(SUMPRODUCT(G97:G141,K97:K141*K97:K141))</f>
        <v>35.84759819838964</v>
      </c>
      <c r="M97" s="14" cm="1">
        <f t="array" ref="M97">SUMPRODUCT(G97:G141,ABS(K97:K141))</f>
        <v>25.748030979532253</v>
      </c>
    </row>
    <row r="98" spans="1:13" x14ac:dyDescent="0.3">
      <c r="F98">
        <v>-85.909090909</v>
      </c>
      <c r="G98">
        <v>2.3942953999999999E-2</v>
      </c>
      <c r="H98" s="1">
        <v>1.2856490999999999E-2</v>
      </c>
      <c r="K98" s="12">
        <f t="shared" ref="K98:K141" si="2">MIN(ABS(F98-$B$97), ABS(F98-180-$B$97), ABS(F98+180-$B$97))</f>
        <v>19.530909090999998</v>
      </c>
    </row>
    <row r="99" spans="1:13" x14ac:dyDescent="0.3">
      <c r="F99">
        <v>-81.818181817999999</v>
      </c>
      <c r="G99">
        <v>2.1660275E-2</v>
      </c>
      <c r="H99" s="1">
        <v>1.2856490999999999E-2</v>
      </c>
      <c r="K99" s="12">
        <f t="shared" si="2"/>
        <v>23.621818181999998</v>
      </c>
    </row>
    <row r="100" spans="1:13" x14ac:dyDescent="0.3">
      <c r="F100">
        <v>-77.727272726999999</v>
      </c>
      <c r="G100">
        <v>1.7006954000000001E-2</v>
      </c>
      <c r="H100" s="1">
        <v>1.2856490999999999E-2</v>
      </c>
      <c r="K100" s="12">
        <f t="shared" si="2"/>
        <v>27.712727272999999</v>
      </c>
      <c r="L100">
        <f>C97/L97</f>
        <v>0.28621164361468721</v>
      </c>
    </row>
    <row r="101" spans="1:13" x14ac:dyDescent="0.3">
      <c r="F101">
        <v>-73.636363635999999</v>
      </c>
      <c r="G101">
        <v>1.4107543E-2</v>
      </c>
      <c r="H101" s="1">
        <v>1.2856490999999999E-2</v>
      </c>
      <c r="K101" s="12">
        <f t="shared" si="2"/>
        <v>31.803636363999999</v>
      </c>
    </row>
    <row r="102" spans="1:13" x14ac:dyDescent="0.3">
      <c r="F102">
        <v>-69.545454544999998</v>
      </c>
      <c r="G102">
        <v>1.3643227000000001E-2</v>
      </c>
      <c r="H102" s="1">
        <v>1.2856490999999999E-2</v>
      </c>
      <c r="K102" s="12">
        <f t="shared" si="2"/>
        <v>35.894545454999999</v>
      </c>
    </row>
    <row r="103" spans="1:13" x14ac:dyDescent="0.3">
      <c r="F103">
        <v>-65.454545455000002</v>
      </c>
      <c r="G103">
        <v>1.3295369E-2</v>
      </c>
      <c r="H103" s="1">
        <v>1.2856490999999999E-2</v>
      </c>
      <c r="K103" s="12">
        <f t="shared" si="2"/>
        <v>39.985454544999996</v>
      </c>
    </row>
    <row r="104" spans="1:13" x14ac:dyDescent="0.3">
      <c r="F104">
        <v>-61.363636364000001</v>
      </c>
      <c r="G104">
        <v>1.1750395E-2</v>
      </c>
      <c r="H104" s="1">
        <v>1.2856490999999999E-2</v>
      </c>
      <c r="K104" s="12">
        <f t="shared" si="2"/>
        <v>44.076363635999996</v>
      </c>
    </row>
    <row r="105" spans="1:13" x14ac:dyDescent="0.3">
      <c r="F105">
        <v>-57.272727273000001</v>
      </c>
      <c r="G105">
        <v>1.1728679000000001E-2</v>
      </c>
      <c r="H105" s="1">
        <v>1.2856490999999999E-2</v>
      </c>
      <c r="K105" s="12">
        <f t="shared" si="2"/>
        <v>48.167272726999997</v>
      </c>
    </row>
    <row r="106" spans="1:13" x14ac:dyDescent="0.3">
      <c r="F106">
        <v>-53.181818182000001</v>
      </c>
      <c r="G106">
        <v>1.1275907E-2</v>
      </c>
      <c r="H106" s="1">
        <v>1.2856490999999999E-2</v>
      </c>
      <c r="K106" s="12">
        <f t="shared" si="2"/>
        <v>52.258181817999997</v>
      </c>
    </row>
    <row r="107" spans="1:13" x14ac:dyDescent="0.3">
      <c r="F107">
        <v>-49.090909091</v>
      </c>
      <c r="G107">
        <v>1.0261315999999999E-2</v>
      </c>
      <c r="H107" s="1">
        <v>1.2856490999999999E-2</v>
      </c>
      <c r="K107" s="12">
        <f t="shared" si="2"/>
        <v>56.349090908999983</v>
      </c>
    </row>
    <row r="108" spans="1:13" x14ac:dyDescent="0.3">
      <c r="F108">
        <v>-45</v>
      </c>
      <c r="G108">
        <v>1.0378592000000001E-2</v>
      </c>
      <c r="H108" s="1">
        <v>1.2856490999999999E-2</v>
      </c>
      <c r="K108" s="12">
        <f t="shared" si="2"/>
        <v>60.44</v>
      </c>
    </row>
    <row r="109" spans="1:13" x14ac:dyDescent="0.3">
      <c r="F109">
        <v>-40.909090909</v>
      </c>
      <c r="G109">
        <v>9.8654810000000006E-3</v>
      </c>
      <c r="H109" s="1">
        <v>1.2856490999999999E-2</v>
      </c>
      <c r="K109" s="12">
        <f t="shared" si="2"/>
        <v>64.530909091000012</v>
      </c>
    </row>
    <row r="110" spans="1:13" x14ac:dyDescent="0.3">
      <c r="F110">
        <v>-36.818181817999999</v>
      </c>
      <c r="G110">
        <v>9.497073E-3</v>
      </c>
      <c r="H110" s="1">
        <v>1.2856490999999999E-2</v>
      </c>
      <c r="K110" s="12">
        <f t="shared" si="2"/>
        <v>68.621818181999998</v>
      </c>
    </row>
    <row r="111" spans="1:13" x14ac:dyDescent="0.3">
      <c r="F111">
        <v>-32.727272726999999</v>
      </c>
      <c r="G111">
        <v>9.671954E-3</v>
      </c>
      <c r="H111" s="1">
        <v>1.2856490999999999E-2</v>
      </c>
      <c r="K111" s="12">
        <f t="shared" si="2"/>
        <v>72.712727272999985</v>
      </c>
    </row>
    <row r="112" spans="1:13" x14ac:dyDescent="0.3">
      <c r="F112">
        <v>-28.636363635999999</v>
      </c>
      <c r="G112">
        <v>9.2057040000000003E-3</v>
      </c>
      <c r="H112" s="1">
        <v>1.2856490999999999E-2</v>
      </c>
      <c r="K112" s="12">
        <f t="shared" si="2"/>
        <v>76.803636363999999</v>
      </c>
    </row>
    <row r="113" spans="6:11" x14ac:dyDescent="0.3">
      <c r="F113">
        <v>-24.545454544999998</v>
      </c>
      <c r="G113">
        <v>9.6252079999999997E-3</v>
      </c>
      <c r="H113" s="1">
        <v>1.2856490999999999E-2</v>
      </c>
      <c r="K113" s="12">
        <f t="shared" si="2"/>
        <v>80.894545455000014</v>
      </c>
    </row>
    <row r="114" spans="6:11" x14ac:dyDescent="0.3">
      <c r="F114">
        <v>-20.454545455000002</v>
      </c>
      <c r="G114">
        <v>9.0411769999999992E-3</v>
      </c>
      <c r="H114" s="1">
        <v>1.2856490999999999E-2</v>
      </c>
      <c r="K114" s="12">
        <f t="shared" si="2"/>
        <v>84.985454544999982</v>
      </c>
    </row>
    <row r="115" spans="6:11" x14ac:dyDescent="0.3">
      <c r="F115">
        <v>-16.363636364000001</v>
      </c>
      <c r="G115">
        <v>9.2138830000000008E-3</v>
      </c>
      <c r="H115" s="1">
        <v>1.2856490999999999E-2</v>
      </c>
      <c r="K115" s="12">
        <f t="shared" si="2"/>
        <v>89.076363635999996</v>
      </c>
    </row>
    <row r="116" spans="6:11" x14ac:dyDescent="0.3">
      <c r="F116">
        <v>-12.272727272999999</v>
      </c>
      <c r="G116">
        <v>9.4234369999999998E-3</v>
      </c>
      <c r="H116" s="1">
        <v>1.2856490999999999E-2</v>
      </c>
      <c r="K116" s="12">
        <f t="shared" si="2"/>
        <v>86.832727273000003</v>
      </c>
    </row>
    <row r="117" spans="6:11" x14ac:dyDescent="0.3">
      <c r="F117">
        <v>-8.1818181820000007</v>
      </c>
      <c r="G117">
        <v>9.2646599999999992E-3</v>
      </c>
      <c r="H117" s="1">
        <v>1.2856490999999999E-2</v>
      </c>
      <c r="K117" s="12">
        <f t="shared" si="2"/>
        <v>82.741818182000003</v>
      </c>
    </row>
    <row r="118" spans="6:11" x14ac:dyDescent="0.3">
      <c r="F118">
        <v>-4.0909090910000003</v>
      </c>
      <c r="G118">
        <v>9.6361559999999999E-3</v>
      </c>
      <c r="H118" s="1">
        <v>1.2856490999999999E-2</v>
      </c>
      <c r="K118" s="12">
        <f t="shared" si="2"/>
        <v>78.650909091000003</v>
      </c>
    </row>
    <row r="119" spans="6:11" x14ac:dyDescent="0.3">
      <c r="F119">
        <v>0</v>
      </c>
      <c r="G119">
        <v>1.1654965999999999E-2</v>
      </c>
      <c r="H119" s="1">
        <v>1.2856490999999999E-2</v>
      </c>
      <c r="K119" s="12">
        <f t="shared" si="2"/>
        <v>74.56</v>
      </c>
    </row>
    <row r="120" spans="6:11" x14ac:dyDescent="0.3">
      <c r="F120">
        <v>4.0909090910000003</v>
      </c>
      <c r="G120">
        <v>1.0543405E-2</v>
      </c>
      <c r="H120" s="1">
        <v>1.2856490999999999E-2</v>
      </c>
      <c r="K120" s="12">
        <f t="shared" si="2"/>
        <v>70.469090909000002</v>
      </c>
    </row>
    <row r="121" spans="6:11" x14ac:dyDescent="0.3">
      <c r="F121">
        <v>8.1818181820000007</v>
      </c>
      <c r="G121">
        <v>1.0565450000000001E-2</v>
      </c>
      <c r="H121" s="1">
        <v>1.2856490999999999E-2</v>
      </c>
      <c r="K121" s="12">
        <f t="shared" si="2"/>
        <v>66.378181818000002</v>
      </c>
    </row>
    <row r="122" spans="6:11" x14ac:dyDescent="0.3">
      <c r="F122">
        <v>12.272727272999999</v>
      </c>
      <c r="G122">
        <v>9.9283059999999996E-3</v>
      </c>
      <c r="H122" s="1">
        <v>1.2856490999999999E-2</v>
      </c>
      <c r="K122" s="12">
        <f t="shared" si="2"/>
        <v>62.287272727000001</v>
      </c>
    </row>
    <row r="123" spans="6:11" x14ac:dyDescent="0.3">
      <c r="F123">
        <v>16.363636364000001</v>
      </c>
      <c r="G123">
        <v>1.0154955E-2</v>
      </c>
      <c r="H123" s="1">
        <v>1.2856497999999999E-2</v>
      </c>
      <c r="K123" s="12">
        <f t="shared" si="2"/>
        <v>58.196363636000001</v>
      </c>
    </row>
    <row r="124" spans="6:11" x14ac:dyDescent="0.3">
      <c r="F124">
        <v>20.454545455000002</v>
      </c>
      <c r="G124">
        <v>1.0592575999999999E-2</v>
      </c>
      <c r="H124" s="1">
        <v>1.2856555E-2</v>
      </c>
      <c r="K124" s="12">
        <f t="shared" si="2"/>
        <v>54.105454545000001</v>
      </c>
    </row>
    <row r="125" spans="6:11" x14ac:dyDescent="0.3">
      <c r="F125">
        <v>24.545454544999998</v>
      </c>
      <c r="G125">
        <v>1.0768106E-2</v>
      </c>
      <c r="H125" s="1">
        <v>1.2856975E-2</v>
      </c>
      <c r="K125" s="12">
        <f t="shared" si="2"/>
        <v>50.014545455000004</v>
      </c>
    </row>
    <row r="126" spans="6:11" x14ac:dyDescent="0.3">
      <c r="F126">
        <v>28.636363635999999</v>
      </c>
      <c r="G126">
        <v>1.1374657E-2</v>
      </c>
      <c r="H126" s="1">
        <v>1.2859615E-2</v>
      </c>
      <c r="K126" s="12">
        <f t="shared" si="2"/>
        <v>45.923636364000004</v>
      </c>
    </row>
    <row r="127" spans="6:11" x14ac:dyDescent="0.3">
      <c r="F127">
        <v>32.727272726999999</v>
      </c>
      <c r="G127">
        <v>1.1840824E-2</v>
      </c>
      <c r="H127" s="1">
        <v>1.287368E-2</v>
      </c>
      <c r="K127" s="12">
        <f t="shared" si="2"/>
        <v>41.832727273000003</v>
      </c>
    </row>
    <row r="128" spans="6:11" x14ac:dyDescent="0.3">
      <c r="F128">
        <v>36.818181817999999</v>
      </c>
      <c r="G128">
        <v>1.345147E-2</v>
      </c>
      <c r="H128" s="1">
        <v>1.2937173E-2</v>
      </c>
      <c r="K128" s="12">
        <f t="shared" si="2"/>
        <v>37.741818182000003</v>
      </c>
    </row>
    <row r="129" spans="1:13" x14ac:dyDescent="0.3">
      <c r="F129">
        <v>40.909090909</v>
      </c>
      <c r="G129">
        <v>1.2691623000000001E-2</v>
      </c>
      <c r="H129" s="1">
        <v>1.3179524E-2</v>
      </c>
      <c r="K129" s="12">
        <f t="shared" si="2"/>
        <v>33.650909091000003</v>
      </c>
    </row>
    <row r="130" spans="1:13" x14ac:dyDescent="0.3">
      <c r="F130">
        <v>45</v>
      </c>
      <c r="G130">
        <v>1.5013059E-2</v>
      </c>
      <c r="H130" s="1">
        <v>1.3959765000000001E-2</v>
      </c>
      <c r="K130" s="12">
        <f t="shared" si="2"/>
        <v>29.560000000000002</v>
      </c>
    </row>
    <row r="131" spans="1:13" x14ac:dyDescent="0.3">
      <c r="F131">
        <v>49.090909091</v>
      </c>
      <c r="G131">
        <v>1.6693385000000002E-2</v>
      </c>
      <c r="H131" s="1">
        <v>1.6070758000000001E-2</v>
      </c>
      <c r="K131" s="12">
        <f t="shared" si="2"/>
        <v>25.469090909000002</v>
      </c>
    </row>
    <row r="132" spans="1:13" x14ac:dyDescent="0.3">
      <c r="F132">
        <v>53.181818182000001</v>
      </c>
      <c r="G132">
        <v>1.9007240000000002E-2</v>
      </c>
      <c r="H132" s="1">
        <v>2.0844595E-2</v>
      </c>
      <c r="K132" s="12">
        <f t="shared" si="2"/>
        <v>21.378181818000002</v>
      </c>
    </row>
    <row r="133" spans="1:13" x14ac:dyDescent="0.3">
      <c r="F133">
        <v>57.272727273000001</v>
      </c>
      <c r="G133">
        <v>2.5093568E-2</v>
      </c>
      <c r="H133" s="1">
        <v>2.9790839E-2</v>
      </c>
      <c r="K133" s="12">
        <f t="shared" si="2"/>
        <v>17.287272727000001</v>
      </c>
    </row>
    <row r="134" spans="1:13" x14ac:dyDescent="0.3">
      <c r="F134">
        <v>61.363636364000001</v>
      </c>
      <c r="G134">
        <v>3.5442270999999997E-2</v>
      </c>
      <c r="H134" s="1">
        <v>4.3480095000000003E-2</v>
      </c>
      <c r="K134" s="12">
        <f t="shared" si="2"/>
        <v>13.196363636000001</v>
      </c>
    </row>
    <row r="135" spans="1:13" x14ac:dyDescent="0.3">
      <c r="F135">
        <v>65.454545455000002</v>
      </c>
      <c r="G135">
        <v>6.9694713000000005E-2</v>
      </c>
      <c r="H135" s="1">
        <v>6.0096199000000003E-2</v>
      </c>
      <c r="K135" s="12">
        <f t="shared" si="2"/>
        <v>9.1054545450000006</v>
      </c>
    </row>
    <row r="136" spans="1:13" x14ac:dyDescent="0.3">
      <c r="F136">
        <v>69.545454544999998</v>
      </c>
      <c r="G136">
        <v>7.3234340999999994E-2</v>
      </c>
      <c r="H136" s="1">
        <v>7.5017946000000002E-2</v>
      </c>
      <c r="K136" s="12">
        <f t="shared" si="2"/>
        <v>5.0145454550000039</v>
      </c>
    </row>
    <row r="137" spans="1:13" x14ac:dyDescent="0.3">
      <c r="F137">
        <v>73.636363635999999</v>
      </c>
      <c r="G137">
        <v>9.3278738E-2</v>
      </c>
      <c r="H137" s="1">
        <v>8.2631226000000002E-2</v>
      </c>
      <c r="K137" s="12">
        <f t="shared" si="2"/>
        <v>0.9236363640000036</v>
      </c>
    </row>
    <row r="138" spans="1:13" x14ac:dyDescent="0.3">
      <c r="F138">
        <v>77.727272726999999</v>
      </c>
      <c r="G138">
        <v>6.9162211000000001E-2</v>
      </c>
      <c r="H138" s="1">
        <v>7.9666002E-2</v>
      </c>
      <c r="K138" s="12">
        <f t="shared" si="2"/>
        <v>3.1672727269999967</v>
      </c>
    </row>
    <row r="139" spans="1:13" x14ac:dyDescent="0.3">
      <c r="F139">
        <v>81.818181817999999</v>
      </c>
      <c r="G139">
        <v>6.2562628999999995E-2</v>
      </c>
      <c r="H139" s="1">
        <v>6.7424919999999999E-2</v>
      </c>
      <c r="K139" s="12">
        <f t="shared" si="2"/>
        <v>7.2581818179999971</v>
      </c>
    </row>
    <row r="140" spans="1:13" x14ac:dyDescent="0.3">
      <c r="F140">
        <v>85.909090909</v>
      </c>
      <c r="G140">
        <v>4.9778677E-2</v>
      </c>
      <c r="H140" s="1">
        <v>5.0876102999999999E-2</v>
      </c>
      <c r="K140" s="12">
        <f t="shared" si="2"/>
        <v>11.349090908999997</v>
      </c>
    </row>
    <row r="141" spans="1:13" s="15" customFormat="1" x14ac:dyDescent="0.3">
      <c r="F141" s="15">
        <v>90</v>
      </c>
      <c r="G141" s="15">
        <v>4.6988442999999998E-2</v>
      </c>
      <c r="H141" s="16">
        <v>3.5452772E-2</v>
      </c>
      <c r="K141" s="12">
        <f t="shared" si="2"/>
        <v>15.439999999999998</v>
      </c>
    </row>
    <row r="142" spans="1:13" x14ac:dyDescent="0.3">
      <c r="A142" s="9">
        <v>20241115</v>
      </c>
      <c r="B142" s="9">
        <v>81.56</v>
      </c>
      <c r="C142" s="9">
        <v>11.3</v>
      </c>
      <c r="D142" s="9">
        <v>0.51</v>
      </c>
      <c r="E142" s="9">
        <v>0.7</v>
      </c>
      <c r="F142">
        <v>-90</v>
      </c>
      <c r="G142">
        <v>7.0649625999999993E-2</v>
      </c>
      <c r="H142" s="1">
        <v>1.2899109000000001E-2</v>
      </c>
      <c r="K142" s="12">
        <f>MIN(ABS(F142-$B$142), ABS(F142-180-$B$142), ABS(F142+180-$B$142))</f>
        <v>8.4399999999999977</v>
      </c>
      <c r="L142" s="13" cm="1">
        <f t="array" ref="L142">SQRT(SUMPRODUCT(G142:G186,K142:K186*K142:K186))</f>
        <v>30.97458108413489</v>
      </c>
      <c r="M142" s="14" cm="1">
        <f t="array" ref="M142">SUMPRODUCT(G142:G186,ABS(K142:K186))</f>
        <v>21.123092801493801</v>
      </c>
    </row>
    <row r="143" spans="1:13" x14ac:dyDescent="0.3">
      <c r="F143">
        <v>-85.909090909</v>
      </c>
      <c r="G143">
        <v>5.4936683E-2</v>
      </c>
      <c r="H143" s="1">
        <v>1.2899109000000001E-2</v>
      </c>
      <c r="K143" s="12">
        <f t="shared" ref="K143:K186" si="3">MIN(ABS(F143-$B$142), ABS(F143-180-$B$142), ABS(F143+180-$B$142))</f>
        <v>12.530909090999998</v>
      </c>
    </row>
    <row r="144" spans="1:13" x14ac:dyDescent="0.3">
      <c r="F144">
        <v>-81.818181817999999</v>
      </c>
      <c r="G144">
        <v>4.6373257000000001E-2</v>
      </c>
      <c r="H144" s="1">
        <v>1.2899109000000001E-2</v>
      </c>
      <c r="K144" s="12">
        <f t="shared" si="3"/>
        <v>16.621818181999998</v>
      </c>
    </row>
    <row r="145" spans="6:12" x14ac:dyDescent="0.3">
      <c r="F145">
        <v>-77.727272726999999</v>
      </c>
      <c r="G145">
        <v>2.4092384000000001E-2</v>
      </c>
      <c r="H145" s="1">
        <v>1.2899109000000001E-2</v>
      </c>
      <c r="K145" s="12">
        <f t="shared" si="3"/>
        <v>20.712727272999999</v>
      </c>
      <c r="L145">
        <f>C142/L142</f>
        <v>0.36481526479103327</v>
      </c>
    </row>
    <row r="146" spans="6:12" x14ac:dyDescent="0.3">
      <c r="F146">
        <v>-73.636363635999999</v>
      </c>
      <c r="G146">
        <v>1.7444459999999998E-2</v>
      </c>
      <c r="H146" s="1">
        <v>1.2899109000000001E-2</v>
      </c>
      <c r="K146" s="12">
        <f t="shared" si="3"/>
        <v>24.803636363999999</v>
      </c>
    </row>
    <row r="147" spans="6:12" x14ac:dyDescent="0.3">
      <c r="F147">
        <v>-69.545454544999998</v>
      </c>
      <c r="G147">
        <v>1.2974078999999999E-2</v>
      </c>
      <c r="H147" s="1">
        <v>1.2899109000000001E-2</v>
      </c>
      <c r="K147" s="12">
        <f t="shared" si="3"/>
        <v>28.894545454999999</v>
      </c>
    </row>
    <row r="148" spans="6:12" x14ac:dyDescent="0.3">
      <c r="F148">
        <v>-65.454545455000002</v>
      </c>
      <c r="G148">
        <v>1.0385437000000001E-2</v>
      </c>
      <c r="H148" s="1">
        <v>1.2899109000000001E-2</v>
      </c>
      <c r="K148" s="12">
        <f t="shared" si="3"/>
        <v>32.985454544999996</v>
      </c>
    </row>
    <row r="149" spans="6:12" x14ac:dyDescent="0.3">
      <c r="F149">
        <v>-61.363636364000001</v>
      </c>
      <c r="G149">
        <v>8.7222359999999995E-3</v>
      </c>
      <c r="H149" s="1">
        <v>1.2899109000000001E-2</v>
      </c>
      <c r="K149" s="12">
        <f t="shared" si="3"/>
        <v>37.076363635999996</v>
      </c>
    </row>
    <row r="150" spans="6:12" x14ac:dyDescent="0.3">
      <c r="F150">
        <v>-57.272727273000001</v>
      </c>
      <c r="G150">
        <v>8.3251899999999997E-3</v>
      </c>
      <c r="H150" s="1">
        <v>1.2899109000000001E-2</v>
      </c>
      <c r="K150" s="12">
        <f t="shared" si="3"/>
        <v>41.167272726999997</v>
      </c>
    </row>
    <row r="151" spans="6:12" x14ac:dyDescent="0.3">
      <c r="F151">
        <v>-53.181818182000001</v>
      </c>
      <c r="G151">
        <v>7.7763720000000001E-3</v>
      </c>
      <c r="H151" s="1">
        <v>1.2899109000000001E-2</v>
      </c>
      <c r="K151" s="12">
        <f t="shared" si="3"/>
        <v>45.258181817999997</v>
      </c>
    </row>
    <row r="152" spans="6:12" x14ac:dyDescent="0.3">
      <c r="F152">
        <v>-49.090909091</v>
      </c>
      <c r="G152">
        <v>7.1307230000000003E-3</v>
      </c>
      <c r="H152" s="1">
        <v>1.2899109000000001E-2</v>
      </c>
      <c r="K152" s="12">
        <f t="shared" si="3"/>
        <v>49.349090908999983</v>
      </c>
    </row>
    <row r="153" spans="6:12" x14ac:dyDescent="0.3">
      <c r="F153">
        <v>-45</v>
      </c>
      <c r="G153">
        <v>6.768568E-3</v>
      </c>
      <c r="H153" s="1">
        <v>1.2899109000000001E-2</v>
      </c>
      <c r="K153" s="12">
        <f t="shared" si="3"/>
        <v>53.44</v>
      </c>
    </row>
    <row r="154" spans="6:12" x14ac:dyDescent="0.3">
      <c r="F154">
        <v>-40.909090909</v>
      </c>
      <c r="G154">
        <v>6.7241760000000001E-3</v>
      </c>
      <c r="H154" s="1">
        <v>1.2899109000000001E-2</v>
      </c>
      <c r="K154" s="12">
        <f t="shared" si="3"/>
        <v>57.530909091000012</v>
      </c>
    </row>
    <row r="155" spans="6:12" x14ac:dyDescent="0.3">
      <c r="F155">
        <v>-36.818181817999999</v>
      </c>
      <c r="G155">
        <v>6.7093509999999997E-3</v>
      </c>
      <c r="H155" s="1">
        <v>1.2899109000000001E-2</v>
      </c>
      <c r="K155" s="12">
        <f t="shared" si="3"/>
        <v>61.621818181999998</v>
      </c>
    </row>
    <row r="156" spans="6:12" x14ac:dyDescent="0.3">
      <c r="F156">
        <v>-32.727272726999999</v>
      </c>
      <c r="G156">
        <v>6.5735610000000003E-3</v>
      </c>
      <c r="H156" s="1">
        <v>1.2899109000000001E-2</v>
      </c>
      <c r="K156" s="12">
        <f t="shared" si="3"/>
        <v>65.712727272999985</v>
      </c>
    </row>
    <row r="157" spans="6:12" x14ac:dyDescent="0.3">
      <c r="F157">
        <v>-28.636363635999999</v>
      </c>
      <c r="G157">
        <v>6.5634830000000002E-3</v>
      </c>
      <c r="H157" s="1">
        <v>1.2899109000000001E-2</v>
      </c>
      <c r="K157" s="12">
        <f t="shared" si="3"/>
        <v>69.803636363999999</v>
      </c>
    </row>
    <row r="158" spans="6:12" x14ac:dyDescent="0.3">
      <c r="F158">
        <v>-24.545454544999998</v>
      </c>
      <c r="G158">
        <v>6.8019100000000004E-3</v>
      </c>
      <c r="H158" s="1">
        <v>1.2899109000000001E-2</v>
      </c>
      <c r="K158" s="12">
        <f t="shared" si="3"/>
        <v>73.894545455000014</v>
      </c>
    </row>
    <row r="159" spans="6:12" x14ac:dyDescent="0.3">
      <c r="F159">
        <v>-20.454545455000002</v>
      </c>
      <c r="G159">
        <v>6.7996610000000002E-3</v>
      </c>
      <c r="H159" s="1">
        <v>1.2899109000000001E-2</v>
      </c>
      <c r="K159" s="12">
        <f t="shared" si="3"/>
        <v>77.985454544999982</v>
      </c>
    </row>
    <row r="160" spans="6:12" x14ac:dyDescent="0.3">
      <c r="F160">
        <v>-16.363636364000001</v>
      </c>
      <c r="G160">
        <v>6.5867089999999996E-3</v>
      </c>
      <c r="H160" s="1">
        <v>1.2899109000000001E-2</v>
      </c>
      <c r="K160" s="12">
        <f t="shared" si="3"/>
        <v>82.076363635999996</v>
      </c>
    </row>
    <row r="161" spans="6:11" x14ac:dyDescent="0.3">
      <c r="F161">
        <v>-12.272727272999999</v>
      </c>
      <c r="G161">
        <v>6.6374479999999998E-3</v>
      </c>
      <c r="H161" s="1">
        <v>1.2899109000000001E-2</v>
      </c>
      <c r="K161" s="12">
        <f t="shared" si="3"/>
        <v>86.167272727000011</v>
      </c>
    </row>
    <row r="162" spans="6:11" x14ac:dyDescent="0.3">
      <c r="F162">
        <v>-8.1818181820000007</v>
      </c>
      <c r="G162">
        <v>6.8891999999999998E-3</v>
      </c>
      <c r="H162" s="1">
        <v>1.2899109000000001E-2</v>
      </c>
      <c r="K162" s="12">
        <f t="shared" si="3"/>
        <v>89.741818182000003</v>
      </c>
    </row>
    <row r="163" spans="6:11" x14ac:dyDescent="0.3">
      <c r="F163">
        <v>-4.0909090910000003</v>
      </c>
      <c r="G163">
        <v>6.9256489999999999E-3</v>
      </c>
      <c r="H163" s="1">
        <v>1.2899109000000001E-2</v>
      </c>
      <c r="K163" s="12">
        <f t="shared" si="3"/>
        <v>85.650909091000003</v>
      </c>
    </row>
    <row r="164" spans="6:11" x14ac:dyDescent="0.3">
      <c r="F164">
        <v>0</v>
      </c>
      <c r="G164">
        <v>8.2061970000000001E-3</v>
      </c>
      <c r="H164" s="1">
        <v>1.2899109000000001E-2</v>
      </c>
      <c r="K164" s="12">
        <f t="shared" si="3"/>
        <v>81.56</v>
      </c>
    </row>
    <row r="165" spans="6:11" x14ac:dyDescent="0.3">
      <c r="F165">
        <v>4.0909090910000003</v>
      </c>
      <c r="G165">
        <v>7.1394700000000002E-3</v>
      </c>
      <c r="H165" s="1">
        <v>1.2899109000000001E-2</v>
      </c>
      <c r="K165" s="12">
        <f t="shared" si="3"/>
        <v>77.469090909000002</v>
      </c>
    </row>
    <row r="166" spans="6:11" x14ac:dyDescent="0.3">
      <c r="F166">
        <v>8.1818181820000007</v>
      </c>
      <c r="G166">
        <v>7.2340850000000003E-3</v>
      </c>
      <c r="H166" s="1">
        <v>1.2899109000000001E-2</v>
      </c>
      <c r="K166" s="12">
        <f t="shared" si="3"/>
        <v>73.378181818000002</v>
      </c>
    </row>
    <row r="167" spans="6:11" x14ac:dyDescent="0.3">
      <c r="F167">
        <v>12.272727272999999</v>
      </c>
      <c r="G167">
        <v>7.2163979999999997E-3</v>
      </c>
      <c r="H167" s="1">
        <v>1.289911E-2</v>
      </c>
      <c r="K167" s="12">
        <f t="shared" si="3"/>
        <v>69.287272727000001</v>
      </c>
    </row>
    <row r="168" spans="6:11" x14ac:dyDescent="0.3">
      <c r="F168">
        <v>16.363636364000001</v>
      </c>
      <c r="G168">
        <v>7.1477620000000002E-3</v>
      </c>
      <c r="H168" s="1">
        <v>1.2899114E-2</v>
      </c>
      <c r="K168" s="12">
        <f t="shared" si="3"/>
        <v>65.196363636000001</v>
      </c>
    </row>
    <row r="169" spans="6:11" x14ac:dyDescent="0.3">
      <c r="F169">
        <v>20.454545455000002</v>
      </c>
      <c r="G169">
        <v>7.7269729999999998E-3</v>
      </c>
      <c r="H169" s="1">
        <v>1.2899142000000001E-2</v>
      </c>
      <c r="K169" s="12">
        <f t="shared" si="3"/>
        <v>61.105454545000001</v>
      </c>
    </row>
    <row r="170" spans="6:11" x14ac:dyDescent="0.3">
      <c r="F170">
        <v>24.545454544999998</v>
      </c>
      <c r="G170">
        <v>7.8475909999999992E-3</v>
      </c>
      <c r="H170" s="1">
        <v>1.2899328E-2</v>
      </c>
      <c r="K170" s="12">
        <f t="shared" si="3"/>
        <v>57.014545455000004</v>
      </c>
    </row>
    <row r="171" spans="6:11" x14ac:dyDescent="0.3">
      <c r="F171">
        <v>28.636363635999999</v>
      </c>
      <c r="G171">
        <v>8.2554150000000003E-3</v>
      </c>
      <c r="H171" s="1">
        <v>1.2900383E-2</v>
      </c>
      <c r="K171" s="12">
        <f t="shared" si="3"/>
        <v>52.923636364000004</v>
      </c>
    </row>
    <row r="172" spans="6:11" x14ac:dyDescent="0.3">
      <c r="F172">
        <v>32.727272726999999</v>
      </c>
      <c r="G172">
        <v>8.4792649999999997E-3</v>
      </c>
      <c r="H172" s="1">
        <v>1.2905603E-2</v>
      </c>
      <c r="K172" s="12">
        <f t="shared" si="3"/>
        <v>48.832727273000003</v>
      </c>
    </row>
    <row r="173" spans="6:11" x14ac:dyDescent="0.3">
      <c r="F173">
        <v>36.818181817999999</v>
      </c>
      <c r="G173">
        <v>8.9734140000000007E-3</v>
      </c>
      <c r="H173" s="1">
        <v>1.2928162E-2</v>
      </c>
      <c r="K173" s="12">
        <f t="shared" si="3"/>
        <v>44.741818182000003</v>
      </c>
    </row>
    <row r="174" spans="6:11" x14ac:dyDescent="0.3">
      <c r="F174">
        <v>40.909090909</v>
      </c>
      <c r="G174">
        <v>8.9635189999999997E-3</v>
      </c>
      <c r="H174" s="1">
        <v>1.3013132E-2</v>
      </c>
      <c r="K174" s="12">
        <f t="shared" si="3"/>
        <v>40.650909091000003</v>
      </c>
    </row>
    <row r="175" spans="6:11" x14ac:dyDescent="0.3">
      <c r="F175">
        <v>45</v>
      </c>
      <c r="G175">
        <v>1.0109566E-2</v>
      </c>
      <c r="H175" s="1">
        <v>1.3291667E-2</v>
      </c>
      <c r="K175" s="12">
        <f t="shared" si="3"/>
        <v>36.56</v>
      </c>
    </row>
    <row r="176" spans="6:11" x14ac:dyDescent="0.3">
      <c r="F176">
        <v>49.090909091</v>
      </c>
      <c r="G176">
        <v>1.1105316E-2</v>
      </c>
      <c r="H176" s="1">
        <v>1.4084668999999999E-2</v>
      </c>
      <c r="K176" s="12">
        <f t="shared" si="3"/>
        <v>32.469090909000002</v>
      </c>
    </row>
    <row r="177" spans="1:13" x14ac:dyDescent="0.3">
      <c r="F177">
        <v>53.181818182000001</v>
      </c>
      <c r="G177">
        <v>1.4936931000000001E-2</v>
      </c>
      <c r="H177" s="1">
        <v>1.6040002000000001E-2</v>
      </c>
      <c r="K177" s="12">
        <f t="shared" si="3"/>
        <v>28.378181818000002</v>
      </c>
    </row>
    <row r="178" spans="1:13" x14ac:dyDescent="0.3">
      <c r="F178">
        <v>57.272727273000001</v>
      </c>
      <c r="G178">
        <v>2.2629343999999999E-2</v>
      </c>
      <c r="H178" s="1">
        <v>2.0198594E-2</v>
      </c>
      <c r="K178" s="12">
        <f t="shared" si="3"/>
        <v>24.287272727000001</v>
      </c>
    </row>
    <row r="179" spans="1:13" x14ac:dyDescent="0.3">
      <c r="F179">
        <v>61.363636364000001</v>
      </c>
      <c r="G179">
        <v>2.6474233E-2</v>
      </c>
      <c r="H179" s="1">
        <v>2.7780407999999999E-2</v>
      </c>
      <c r="K179" s="12">
        <f t="shared" si="3"/>
        <v>20.196363636000001</v>
      </c>
    </row>
    <row r="180" spans="1:13" x14ac:dyDescent="0.3">
      <c r="F180">
        <v>65.454545455000002</v>
      </c>
      <c r="G180">
        <v>4.6080959999999997E-2</v>
      </c>
      <c r="H180" s="1">
        <v>3.9512426000000003E-2</v>
      </c>
      <c r="K180" s="12">
        <f t="shared" si="3"/>
        <v>16.105454545000001</v>
      </c>
    </row>
    <row r="181" spans="1:13" x14ac:dyDescent="0.3">
      <c r="F181">
        <v>69.545454544999998</v>
      </c>
      <c r="G181">
        <v>5.4365485999999998E-2</v>
      </c>
      <c r="H181" s="1">
        <v>5.4650091999999997E-2</v>
      </c>
      <c r="K181" s="12">
        <f t="shared" si="3"/>
        <v>12.014545455000004</v>
      </c>
    </row>
    <row r="182" spans="1:13" x14ac:dyDescent="0.3">
      <c r="F182">
        <v>73.636363635999999</v>
      </c>
      <c r="G182">
        <v>5.7550291000000003E-2</v>
      </c>
      <c r="H182" s="1">
        <v>7.0356238000000001E-2</v>
      </c>
      <c r="K182" s="12">
        <f t="shared" si="3"/>
        <v>7.9236363640000036</v>
      </c>
    </row>
    <row r="183" spans="1:13" x14ac:dyDescent="0.3">
      <c r="F183">
        <v>77.727272726999999</v>
      </c>
      <c r="G183">
        <v>9.1589153000000006E-2</v>
      </c>
      <c r="H183" s="1">
        <v>8.2262555000000001E-2</v>
      </c>
      <c r="K183" s="12">
        <f t="shared" si="3"/>
        <v>3.8327272730000033</v>
      </c>
    </row>
    <row r="184" spans="1:13" x14ac:dyDescent="0.3">
      <c r="F184">
        <v>81.818181817999999</v>
      </c>
      <c r="G184">
        <v>9.0132693E-2</v>
      </c>
      <c r="H184" s="1">
        <v>8.6355048000000004E-2</v>
      </c>
      <c r="K184" s="12">
        <f t="shared" si="3"/>
        <v>0.25818181799999707</v>
      </c>
    </row>
    <row r="185" spans="1:13" x14ac:dyDescent="0.3">
      <c r="F185">
        <v>85.909090909</v>
      </c>
      <c r="G185">
        <v>7.4396146999999996E-2</v>
      </c>
      <c r="H185" s="1">
        <v>8.1138114999999997E-2</v>
      </c>
      <c r="K185" s="12">
        <f t="shared" si="3"/>
        <v>4.3490909089999974</v>
      </c>
    </row>
    <row r="186" spans="1:13" s="15" customFormat="1" x14ac:dyDescent="0.3">
      <c r="F186" s="15">
        <v>90</v>
      </c>
      <c r="G186" s="15">
        <v>7.0649625999999993E-2</v>
      </c>
      <c r="H186" s="16">
        <v>6.8508480999999996E-2</v>
      </c>
      <c r="K186" s="12">
        <f t="shared" si="3"/>
        <v>8.4399999999999977</v>
      </c>
    </row>
    <row r="187" spans="1:13" x14ac:dyDescent="0.3">
      <c r="A187" s="9">
        <v>20241115</v>
      </c>
      <c r="B187" s="9">
        <v>-92.77</v>
      </c>
      <c r="C187" s="9">
        <v>10.039999999999999</v>
      </c>
      <c r="D187" s="9">
        <v>0.25</v>
      </c>
      <c r="E187" s="9">
        <v>0.28999999999999998</v>
      </c>
      <c r="F187">
        <v>-90</v>
      </c>
      <c r="G187">
        <v>7.3028027999999995E-2</v>
      </c>
      <c r="H187" s="1">
        <v>7.1076306000000006E-2</v>
      </c>
      <c r="K187" s="12">
        <f>MIN(ABS(F187-$B$187), ABS(F187-180-$B$187), ABS(F187+180-$B$187))</f>
        <v>2.769999999999996</v>
      </c>
      <c r="L187" s="13" cm="1">
        <f t="array" ref="L187">SQRT(SUMPRODUCT(G187:G231,K187:K231*K187:K231))</f>
        <v>36.531337652402591</v>
      </c>
      <c r="M187" s="14" cm="1">
        <f t="array" ref="M187">SUMPRODUCT(G187:G231,ABS(K187:K231))</f>
        <v>26.464934791129409</v>
      </c>
    </row>
    <row r="188" spans="1:13" x14ac:dyDescent="0.3">
      <c r="F188">
        <v>-85.909090909</v>
      </c>
      <c r="G188">
        <v>5.6729100999999997E-2</v>
      </c>
      <c r="H188" s="1">
        <v>6.1777527999999998E-2</v>
      </c>
      <c r="K188" s="12">
        <f t="shared" ref="K188:K231" si="4">MIN(ABS(F188-$B$187), ABS(F188-180-$B$187), ABS(F188+180-$B$187))</f>
        <v>6.8609090909999964</v>
      </c>
    </row>
    <row r="189" spans="1:13" x14ac:dyDescent="0.3">
      <c r="F189">
        <v>-81.818181817999999</v>
      </c>
      <c r="G189">
        <v>5.1190829E-2</v>
      </c>
      <c r="H189" s="1">
        <v>4.8712455000000002E-2</v>
      </c>
      <c r="K189" s="12">
        <f t="shared" si="4"/>
        <v>10.951818181999997</v>
      </c>
    </row>
    <row r="190" spans="1:13" x14ac:dyDescent="0.3">
      <c r="F190">
        <v>-77.727272726999999</v>
      </c>
      <c r="G190">
        <v>4.0566425000000003E-2</v>
      </c>
      <c r="H190" s="1">
        <v>3.6415390999999998E-2</v>
      </c>
      <c r="K190" s="12">
        <f t="shared" si="4"/>
        <v>15.042727272999997</v>
      </c>
    </row>
    <row r="191" spans="1:13" x14ac:dyDescent="0.3">
      <c r="F191">
        <v>-73.636363635999999</v>
      </c>
      <c r="G191">
        <v>2.5178847000000001E-2</v>
      </c>
      <c r="H191" s="1">
        <v>2.7563016999999999E-2</v>
      </c>
      <c r="K191" s="12">
        <f t="shared" si="4"/>
        <v>19.133636363999997</v>
      </c>
      <c r="L191">
        <f>C187/L187</f>
        <v>0.27483253133326446</v>
      </c>
    </row>
    <row r="192" spans="1:13" x14ac:dyDescent="0.3">
      <c r="F192">
        <v>-69.545454544999998</v>
      </c>
      <c r="G192">
        <v>2.1174627000000001E-2</v>
      </c>
      <c r="H192" s="1">
        <v>2.2463298999999999E-2</v>
      </c>
      <c r="K192" s="12">
        <f t="shared" si="4"/>
        <v>23.224545454999998</v>
      </c>
    </row>
    <row r="193" spans="6:11" x14ac:dyDescent="0.3">
      <c r="F193">
        <v>-65.454545455000002</v>
      </c>
      <c r="G193">
        <v>1.6813525999999999E-2</v>
      </c>
      <c r="H193" s="1">
        <v>2.0062453000000001E-2</v>
      </c>
      <c r="K193" s="12">
        <f t="shared" si="4"/>
        <v>27.315454544999994</v>
      </c>
    </row>
    <row r="194" spans="6:11" x14ac:dyDescent="0.3">
      <c r="F194">
        <v>-61.363636364000001</v>
      </c>
      <c r="G194">
        <v>1.4883940999999999E-2</v>
      </c>
      <c r="H194" s="1">
        <v>1.9128169E-2</v>
      </c>
      <c r="K194" s="12">
        <f t="shared" si="4"/>
        <v>31.406363635999995</v>
      </c>
    </row>
    <row r="195" spans="6:11" x14ac:dyDescent="0.3">
      <c r="F195">
        <v>-57.272727273000001</v>
      </c>
      <c r="G195">
        <v>1.4348385999999999E-2</v>
      </c>
      <c r="H195" s="1">
        <v>1.8825552999999998E-2</v>
      </c>
      <c r="K195" s="12">
        <f t="shared" si="4"/>
        <v>35.497272726999995</v>
      </c>
    </row>
    <row r="196" spans="6:11" x14ac:dyDescent="0.3">
      <c r="F196">
        <v>-53.181818182000001</v>
      </c>
      <c r="G196">
        <v>1.4273829E-2</v>
      </c>
      <c r="H196" s="1">
        <v>1.8743602000000002E-2</v>
      </c>
      <c r="K196" s="12">
        <f t="shared" si="4"/>
        <v>39.588181817999995</v>
      </c>
    </row>
    <row r="197" spans="6:11" x14ac:dyDescent="0.3">
      <c r="F197">
        <v>-49.090909091</v>
      </c>
      <c r="G197">
        <v>1.2250997E-2</v>
      </c>
      <c r="H197" s="1">
        <v>1.872499E-2</v>
      </c>
      <c r="K197" s="12">
        <f t="shared" si="4"/>
        <v>43.679090908999996</v>
      </c>
    </row>
    <row r="198" spans="6:11" x14ac:dyDescent="0.3">
      <c r="F198">
        <v>-45</v>
      </c>
      <c r="G198">
        <v>1.1724748E-2</v>
      </c>
      <c r="H198" s="1">
        <v>1.8721437E-2</v>
      </c>
      <c r="K198" s="12">
        <f t="shared" si="4"/>
        <v>47.769999999999996</v>
      </c>
    </row>
    <row r="199" spans="6:11" x14ac:dyDescent="0.3">
      <c r="F199">
        <v>-40.909090909</v>
      </c>
      <c r="G199">
        <v>1.0618513E-2</v>
      </c>
      <c r="H199" s="1">
        <v>1.8720865999999999E-2</v>
      </c>
      <c r="K199" s="12">
        <f t="shared" si="4"/>
        <v>51.860909090999996</v>
      </c>
    </row>
    <row r="200" spans="6:11" x14ac:dyDescent="0.3">
      <c r="F200">
        <v>-36.818181817999999</v>
      </c>
      <c r="G200">
        <v>1.1356154E-2</v>
      </c>
      <c r="H200" s="1">
        <v>1.8720789000000002E-2</v>
      </c>
      <c r="K200" s="12">
        <f t="shared" si="4"/>
        <v>55.951818181999997</v>
      </c>
    </row>
    <row r="201" spans="6:11" x14ac:dyDescent="0.3">
      <c r="F201">
        <v>-32.727272726999999</v>
      </c>
      <c r="G201">
        <v>1.035954E-2</v>
      </c>
      <c r="H201" s="1">
        <v>1.8720779999999999E-2</v>
      </c>
      <c r="K201" s="12">
        <f t="shared" si="4"/>
        <v>60.042727272999997</v>
      </c>
    </row>
    <row r="202" spans="6:11" x14ac:dyDescent="0.3">
      <c r="F202">
        <v>-28.636363635999999</v>
      </c>
      <c r="G202">
        <v>9.6574490000000002E-3</v>
      </c>
      <c r="H202" s="1">
        <v>1.8720779E-2</v>
      </c>
      <c r="K202" s="12">
        <f t="shared" si="4"/>
        <v>64.133636363999997</v>
      </c>
    </row>
    <row r="203" spans="6:11" x14ac:dyDescent="0.3">
      <c r="F203">
        <v>-24.545454544999998</v>
      </c>
      <c r="G203">
        <v>9.5226949999999994E-3</v>
      </c>
      <c r="H203" s="1">
        <v>1.8720779E-2</v>
      </c>
      <c r="K203" s="12">
        <f t="shared" si="4"/>
        <v>68.224545454999998</v>
      </c>
    </row>
    <row r="204" spans="6:11" x14ac:dyDescent="0.3">
      <c r="F204">
        <v>-20.454545455000002</v>
      </c>
      <c r="G204">
        <v>1.0377620000000001E-2</v>
      </c>
      <c r="H204" s="1">
        <v>1.8720779E-2</v>
      </c>
      <c r="K204" s="12">
        <f t="shared" si="4"/>
        <v>72.315454544999994</v>
      </c>
    </row>
    <row r="205" spans="6:11" x14ac:dyDescent="0.3">
      <c r="F205">
        <v>-16.363636364000001</v>
      </c>
      <c r="G205">
        <v>9.7122240000000002E-3</v>
      </c>
      <c r="H205" s="1">
        <v>1.8720779E-2</v>
      </c>
      <c r="K205" s="12">
        <f t="shared" si="4"/>
        <v>76.406363635999995</v>
      </c>
    </row>
    <row r="206" spans="6:11" x14ac:dyDescent="0.3">
      <c r="F206">
        <v>-12.272727272999999</v>
      </c>
      <c r="G206">
        <v>1.0293586E-2</v>
      </c>
      <c r="H206" s="1">
        <v>1.8720779E-2</v>
      </c>
      <c r="K206" s="12">
        <f t="shared" si="4"/>
        <v>80.497272726999995</v>
      </c>
    </row>
    <row r="207" spans="6:11" x14ac:dyDescent="0.3">
      <c r="F207">
        <v>-8.1818181820000007</v>
      </c>
      <c r="G207">
        <v>1.0068041E-2</v>
      </c>
      <c r="H207" s="1">
        <v>1.8720779E-2</v>
      </c>
      <c r="K207" s="12">
        <f t="shared" si="4"/>
        <v>84.588181817999995</v>
      </c>
    </row>
    <row r="208" spans="6:11" x14ac:dyDescent="0.3">
      <c r="F208">
        <v>-4.0909090910000003</v>
      </c>
      <c r="G208">
        <v>9.4868350000000008E-3</v>
      </c>
      <c r="H208" s="1">
        <v>1.8720779E-2</v>
      </c>
      <c r="K208" s="12">
        <f t="shared" si="4"/>
        <v>88.679090908999996</v>
      </c>
    </row>
    <row r="209" spans="6:11" x14ac:dyDescent="0.3">
      <c r="F209">
        <v>0</v>
      </c>
      <c r="G209">
        <v>1.2853899E-2</v>
      </c>
      <c r="H209" s="1">
        <v>1.8720779E-2</v>
      </c>
      <c r="K209" s="12">
        <f t="shared" si="4"/>
        <v>87.23</v>
      </c>
    </row>
    <row r="210" spans="6:11" x14ac:dyDescent="0.3">
      <c r="F210">
        <v>4.0909090910000003</v>
      </c>
      <c r="G210">
        <v>9.5341200000000001E-3</v>
      </c>
      <c r="H210" s="1">
        <v>1.8720779E-2</v>
      </c>
      <c r="K210" s="12">
        <f t="shared" si="4"/>
        <v>83.139090908999989</v>
      </c>
    </row>
    <row r="211" spans="6:11" x14ac:dyDescent="0.3">
      <c r="F211">
        <v>8.1818181820000007</v>
      </c>
      <c r="G211">
        <v>9.7620390000000001E-3</v>
      </c>
      <c r="H211" s="1">
        <v>1.8720779E-2</v>
      </c>
      <c r="K211" s="12">
        <f t="shared" si="4"/>
        <v>79.048181818000003</v>
      </c>
    </row>
    <row r="212" spans="6:11" x14ac:dyDescent="0.3">
      <c r="F212">
        <v>12.272727272999999</v>
      </c>
      <c r="G212">
        <v>1.0247905999999999E-2</v>
      </c>
      <c r="H212" s="1">
        <v>1.8720779E-2</v>
      </c>
      <c r="K212" s="12">
        <f t="shared" si="4"/>
        <v>74.957272727000017</v>
      </c>
    </row>
    <row r="213" spans="6:11" x14ac:dyDescent="0.3">
      <c r="F213">
        <v>16.363636364000001</v>
      </c>
      <c r="G213">
        <v>9.3565090000000007E-3</v>
      </c>
      <c r="H213" s="1">
        <v>1.8720779E-2</v>
      </c>
      <c r="K213" s="12">
        <f t="shared" si="4"/>
        <v>70.866363636000003</v>
      </c>
    </row>
    <row r="214" spans="6:11" x14ac:dyDescent="0.3">
      <c r="F214">
        <v>20.454545455000002</v>
      </c>
      <c r="G214">
        <v>9.5212170000000002E-3</v>
      </c>
      <c r="H214" s="1">
        <v>1.8720779E-2</v>
      </c>
      <c r="K214" s="12">
        <f t="shared" si="4"/>
        <v>66.775454544999988</v>
      </c>
    </row>
    <row r="215" spans="6:11" x14ac:dyDescent="0.3">
      <c r="F215">
        <v>24.545454544999998</v>
      </c>
      <c r="G215">
        <v>9.3039520000000007E-3</v>
      </c>
      <c r="H215" s="1">
        <v>1.8720779E-2</v>
      </c>
      <c r="K215" s="12">
        <f t="shared" si="4"/>
        <v>62.68454545500002</v>
      </c>
    </row>
    <row r="216" spans="6:11" x14ac:dyDescent="0.3">
      <c r="F216">
        <v>28.636363635999999</v>
      </c>
      <c r="G216">
        <v>1.0488406E-2</v>
      </c>
      <c r="H216" s="1">
        <v>1.8720779E-2</v>
      </c>
      <c r="K216" s="12">
        <f t="shared" si="4"/>
        <v>58.593636364000005</v>
      </c>
    </row>
    <row r="217" spans="6:11" x14ac:dyDescent="0.3">
      <c r="F217">
        <v>32.727272726999999</v>
      </c>
      <c r="G217">
        <v>1.0788233E-2</v>
      </c>
      <c r="H217" s="1">
        <v>1.8720779E-2</v>
      </c>
      <c r="K217" s="12">
        <f t="shared" si="4"/>
        <v>54.502727272999991</v>
      </c>
    </row>
    <row r="218" spans="6:11" x14ac:dyDescent="0.3">
      <c r="F218">
        <v>36.818181817999999</v>
      </c>
      <c r="G218">
        <v>1.1613777E-2</v>
      </c>
      <c r="H218" s="1">
        <v>1.8720779E-2</v>
      </c>
      <c r="K218" s="12">
        <f t="shared" si="4"/>
        <v>50.411818182000005</v>
      </c>
    </row>
    <row r="219" spans="6:11" x14ac:dyDescent="0.3">
      <c r="F219">
        <v>40.909090909</v>
      </c>
      <c r="G219">
        <v>1.1931819999999999E-2</v>
      </c>
      <c r="H219" s="1">
        <v>1.8720779E-2</v>
      </c>
      <c r="K219" s="12">
        <f t="shared" si="4"/>
        <v>46.320909091000019</v>
      </c>
    </row>
    <row r="220" spans="6:11" x14ac:dyDescent="0.3">
      <c r="F220">
        <v>45</v>
      </c>
      <c r="G220">
        <v>1.2950784E-2</v>
      </c>
      <c r="H220" s="1">
        <v>1.8720779E-2</v>
      </c>
      <c r="K220" s="12">
        <f t="shared" si="4"/>
        <v>42.230000000000004</v>
      </c>
    </row>
    <row r="221" spans="6:11" x14ac:dyDescent="0.3">
      <c r="F221">
        <v>49.090909091</v>
      </c>
      <c r="G221">
        <v>1.26982E-2</v>
      </c>
      <c r="H221" s="1">
        <v>1.8720779E-2</v>
      </c>
      <c r="K221" s="12">
        <f t="shared" si="4"/>
        <v>38.139090908999989</v>
      </c>
    </row>
    <row r="222" spans="6:11" x14ac:dyDescent="0.3">
      <c r="F222">
        <v>53.181818182000001</v>
      </c>
      <c r="G222">
        <v>1.5883889000000002E-2</v>
      </c>
      <c r="H222" s="1">
        <v>1.8720779E-2</v>
      </c>
      <c r="K222" s="12">
        <f t="shared" si="4"/>
        <v>34.048181818000003</v>
      </c>
    </row>
    <row r="223" spans="6:11" x14ac:dyDescent="0.3">
      <c r="F223">
        <v>57.272727273000001</v>
      </c>
      <c r="G223">
        <v>1.9239606999999999E-2</v>
      </c>
      <c r="H223" s="1">
        <v>1.8720779E-2</v>
      </c>
      <c r="K223" s="12">
        <f t="shared" si="4"/>
        <v>29.957272727000003</v>
      </c>
    </row>
    <row r="224" spans="6:11" x14ac:dyDescent="0.3">
      <c r="F224">
        <v>61.363636364000001</v>
      </c>
      <c r="G224">
        <v>2.6302209E-2</v>
      </c>
      <c r="H224" s="1">
        <v>1.8720779E-2</v>
      </c>
      <c r="K224" s="12">
        <f t="shared" si="4"/>
        <v>25.866363636000003</v>
      </c>
    </row>
    <row r="225" spans="1:13" x14ac:dyDescent="0.3">
      <c r="F225">
        <v>65.454545455000002</v>
      </c>
      <c r="G225">
        <v>2.8711506000000001E-2</v>
      </c>
      <c r="H225" s="1">
        <v>1.8720779E-2</v>
      </c>
      <c r="K225" s="12">
        <f t="shared" si="4"/>
        <v>21.775454545000002</v>
      </c>
    </row>
    <row r="226" spans="1:13" x14ac:dyDescent="0.3">
      <c r="F226">
        <v>69.545454544999998</v>
      </c>
      <c r="G226">
        <v>3.6995603000000002E-2</v>
      </c>
      <c r="H226" s="1">
        <v>1.8720779E-2</v>
      </c>
      <c r="K226" s="12">
        <f t="shared" si="4"/>
        <v>17.684545455000006</v>
      </c>
    </row>
    <row r="227" spans="1:13" x14ac:dyDescent="0.3">
      <c r="F227">
        <v>73.636363635999999</v>
      </c>
      <c r="G227">
        <v>4.6023016999999999E-2</v>
      </c>
      <c r="H227" s="1">
        <v>1.8720779E-2</v>
      </c>
      <c r="K227" s="12">
        <f t="shared" si="4"/>
        <v>13.593636364000005</v>
      </c>
    </row>
    <row r="228" spans="1:13" x14ac:dyDescent="0.3">
      <c r="F228">
        <v>77.727272726999999</v>
      </c>
      <c r="G228">
        <v>6.1482710000000003E-2</v>
      </c>
      <c r="H228" s="1">
        <v>1.8720779E-2</v>
      </c>
      <c r="K228" s="12">
        <f t="shared" si="4"/>
        <v>9.502727273000005</v>
      </c>
    </row>
    <row r="229" spans="1:13" x14ac:dyDescent="0.3">
      <c r="F229">
        <v>81.818181817999999</v>
      </c>
      <c r="G229">
        <v>5.2712257999999998E-2</v>
      </c>
      <c r="H229" s="1">
        <v>1.8720779E-2</v>
      </c>
      <c r="K229" s="12">
        <f t="shared" si="4"/>
        <v>5.4118181820000046</v>
      </c>
    </row>
    <row r="230" spans="1:13" x14ac:dyDescent="0.3">
      <c r="F230">
        <v>85.909090909</v>
      </c>
      <c r="G230">
        <v>4.4954368000000001E-2</v>
      </c>
      <c r="H230" s="1">
        <v>1.8720779E-2</v>
      </c>
      <c r="K230" s="12">
        <f t="shared" si="4"/>
        <v>1.3209090910000043</v>
      </c>
    </row>
    <row r="231" spans="1:13" s="15" customFormat="1" x14ac:dyDescent="0.3">
      <c r="F231" s="15">
        <v>90</v>
      </c>
      <c r="G231" s="15">
        <v>7.3028027999999995E-2</v>
      </c>
      <c r="H231" s="16">
        <v>1.8720779E-2</v>
      </c>
      <c r="K231" s="12">
        <f t="shared" si="4"/>
        <v>2.769999999999996</v>
      </c>
    </row>
    <row r="232" spans="1:13" x14ac:dyDescent="0.3">
      <c r="A232" s="9">
        <v>20241115</v>
      </c>
      <c r="B232" s="9">
        <v>74.41</v>
      </c>
      <c r="C232" s="9">
        <v>9.41</v>
      </c>
      <c r="D232" s="9">
        <v>0.6</v>
      </c>
      <c r="E232" s="9">
        <v>0.93</v>
      </c>
      <c r="F232">
        <v>-90</v>
      </c>
      <c r="G232">
        <v>3.4508723999999998E-2</v>
      </c>
      <c r="H232" s="1">
        <v>1.0712784E-2</v>
      </c>
      <c r="K232" s="12">
        <f>MIN(ABS(F232-$B$232), ABS(F232-180-$B$232), ABS(F232+180-$B$232))</f>
        <v>15.590000000000003</v>
      </c>
      <c r="L232" s="13" cm="1">
        <f t="array" ref="L232">SQRT(SUMPRODUCT(G232:G276,K232:K276*K232:K276))</f>
        <v>32.393431729921069</v>
      </c>
      <c r="M232" s="14" cm="1">
        <f t="array" ref="M232">SUMPRODUCT(G232:G276,ABS(K232:K276))</f>
        <v>22.186201652257203</v>
      </c>
    </row>
    <row r="233" spans="1:13" x14ac:dyDescent="0.3">
      <c r="F233">
        <v>-85.909090909</v>
      </c>
      <c r="G233">
        <v>2.1638523E-2</v>
      </c>
      <c r="H233" s="1">
        <v>1.0712784E-2</v>
      </c>
      <c r="K233" s="12">
        <f t="shared" ref="K233:K276" si="5">MIN(ABS(F233-$B$232), ABS(F233-180-$B$232), ABS(F233+180-$B$232))</f>
        <v>19.680909091000004</v>
      </c>
    </row>
    <row r="234" spans="1:13" x14ac:dyDescent="0.3">
      <c r="F234">
        <v>-81.818181817999999</v>
      </c>
      <c r="G234">
        <v>2.0157008000000001E-2</v>
      </c>
      <c r="H234" s="1">
        <v>1.0712784E-2</v>
      </c>
      <c r="K234" s="12">
        <f t="shared" si="5"/>
        <v>23.771818182000004</v>
      </c>
    </row>
    <row r="235" spans="1:13" x14ac:dyDescent="0.3">
      <c r="F235">
        <v>-77.727272726999999</v>
      </c>
      <c r="G235">
        <v>1.5909947000000001E-2</v>
      </c>
      <c r="H235" s="1">
        <v>1.0712784E-2</v>
      </c>
      <c r="K235" s="12">
        <f t="shared" si="5"/>
        <v>27.862727273000004</v>
      </c>
      <c r="L235">
        <f>C232/L232</f>
        <v>0.29049098837244214</v>
      </c>
    </row>
    <row r="236" spans="1:13" x14ac:dyDescent="0.3">
      <c r="F236">
        <v>-73.636363635999999</v>
      </c>
      <c r="G236">
        <v>1.3073074E-2</v>
      </c>
      <c r="H236" s="1">
        <v>1.0712784E-2</v>
      </c>
      <c r="K236" s="12">
        <f t="shared" si="5"/>
        <v>31.953636364000005</v>
      </c>
    </row>
    <row r="237" spans="1:13" x14ac:dyDescent="0.3">
      <c r="F237">
        <v>-69.545454544999998</v>
      </c>
      <c r="G237">
        <v>1.1180742E-2</v>
      </c>
      <c r="H237" s="1">
        <v>1.0712784E-2</v>
      </c>
      <c r="K237" s="12">
        <f t="shared" si="5"/>
        <v>36.044545455000005</v>
      </c>
    </row>
    <row r="238" spans="1:13" x14ac:dyDescent="0.3">
      <c r="F238">
        <v>-65.454545455000002</v>
      </c>
      <c r="G238">
        <v>1.0538064999999999E-2</v>
      </c>
      <c r="H238" s="1">
        <v>1.0712784E-2</v>
      </c>
      <c r="K238" s="12">
        <f t="shared" si="5"/>
        <v>40.135454545000002</v>
      </c>
    </row>
    <row r="239" spans="1:13" x14ac:dyDescent="0.3">
      <c r="F239">
        <v>-61.363636364000001</v>
      </c>
      <c r="G239">
        <v>1.0041569E-2</v>
      </c>
      <c r="H239" s="1">
        <v>1.0712784E-2</v>
      </c>
      <c r="K239" s="12">
        <f t="shared" si="5"/>
        <v>44.226363636000002</v>
      </c>
    </row>
    <row r="240" spans="1:13" x14ac:dyDescent="0.3">
      <c r="F240">
        <v>-57.272727273000001</v>
      </c>
      <c r="G240">
        <v>8.8236180000000001E-3</v>
      </c>
      <c r="H240" s="1">
        <v>1.0712784E-2</v>
      </c>
      <c r="K240" s="12">
        <f t="shared" si="5"/>
        <v>48.317272727000002</v>
      </c>
    </row>
    <row r="241" spans="6:11" x14ac:dyDescent="0.3">
      <c r="F241">
        <v>-53.181818182000001</v>
      </c>
      <c r="G241">
        <v>8.3706560000000006E-3</v>
      </c>
      <c r="H241" s="1">
        <v>1.0712784E-2</v>
      </c>
      <c r="K241" s="12">
        <f t="shared" si="5"/>
        <v>52.408181818000003</v>
      </c>
    </row>
    <row r="242" spans="6:11" x14ac:dyDescent="0.3">
      <c r="F242">
        <v>-49.090909091</v>
      </c>
      <c r="G242">
        <v>8.3103440000000008E-3</v>
      </c>
      <c r="H242" s="1">
        <v>1.0712784E-2</v>
      </c>
      <c r="K242" s="12">
        <f t="shared" si="5"/>
        <v>56.499090908999989</v>
      </c>
    </row>
    <row r="243" spans="6:11" x14ac:dyDescent="0.3">
      <c r="F243">
        <v>-45</v>
      </c>
      <c r="G243">
        <v>7.6558490000000002E-3</v>
      </c>
      <c r="H243" s="1">
        <v>1.0712784E-2</v>
      </c>
      <c r="K243" s="12">
        <f t="shared" si="5"/>
        <v>60.59</v>
      </c>
    </row>
    <row r="244" spans="6:11" x14ac:dyDescent="0.3">
      <c r="F244">
        <v>-40.909090909</v>
      </c>
      <c r="G244">
        <v>7.7042869999999998E-3</v>
      </c>
      <c r="H244" s="1">
        <v>1.0712784E-2</v>
      </c>
      <c r="K244" s="12">
        <f t="shared" si="5"/>
        <v>64.680909091000018</v>
      </c>
    </row>
    <row r="245" spans="6:11" x14ac:dyDescent="0.3">
      <c r="F245">
        <v>-36.818181817999999</v>
      </c>
      <c r="G245">
        <v>8.0445299999999994E-3</v>
      </c>
      <c r="H245" s="1">
        <v>1.0712784E-2</v>
      </c>
      <c r="K245" s="12">
        <f t="shared" si="5"/>
        <v>68.771818182000004</v>
      </c>
    </row>
    <row r="246" spans="6:11" x14ac:dyDescent="0.3">
      <c r="F246">
        <v>-32.727272726999999</v>
      </c>
      <c r="G246">
        <v>7.6971449999999999E-3</v>
      </c>
      <c r="H246" s="1">
        <v>1.0712784E-2</v>
      </c>
      <c r="K246" s="12">
        <f t="shared" si="5"/>
        <v>72.86272727299999</v>
      </c>
    </row>
    <row r="247" spans="6:11" x14ac:dyDescent="0.3">
      <c r="F247">
        <v>-28.636363635999999</v>
      </c>
      <c r="G247">
        <v>7.5943019999999998E-3</v>
      </c>
      <c r="H247" s="1">
        <v>1.0712784E-2</v>
      </c>
      <c r="K247" s="12">
        <f t="shared" si="5"/>
        <v>76.953636364000005</v>
      </c>
    </row>
    <row r="248" spans="6:11" x14ac:dyDescent="0.3">
      <c r="F248">
        <v>-24.545454544999998</v>
      </c>
      <c r="G248">
        <v>7.5264049999999999E-3</v>
      </c>
      <c r="H248" s="1">
        <v>1.0712784E-2</v>
      </c>
      <c r="K248" s="12">
        <f t="shared" si="5"/>
        <v>81.044545455000019</v>
      </c>
    </row>
    <row r="249" spans="6:11" x14ac:dyDescent="0.3">
      <c r="F249">
        <v>-20.454545455000002</v>
      </c>
      <c r="G249">
        <v>7.3364959999999996E-3</v>
      </c>
      <c r="H249" s="1">
        <v>1.0712784E-2</v>
      </c>
      <c r="K249" s="12">
        <f t="shared" si="5"/>
        <v>85.135454544999988</v>
      </c>
    </row>
    <row r="250" spans="6:11" x14ac:dyDescent="0.3">
      <c r="F250">
        <v>-16.363636364000001</v>
      </c>
      <c r="G250">
        <v>7.1733020000000003E-3</v>
      </c>
      <c r="H250" s="1">
        <v>1.0712784E-2</v>
      </c>
      <c r="K250" s="12">
        <f t="shared" si="5"/>
        <v>89.226363636000002</v>
      </c>
    </row>
    <row r="251" spans="6:11" x14ac:dyDescent="0.3">
      <c r="F251">
        <v>-12.272727272999999</v>
      </c>
      <c r="G251">
        <v>7.3048560000000002E-3</v>
      </c>
      <c r="H251" s="1">
        <v>1.0712784E-2</v>
      </c>
      <c r="K251" s="12">
        <f t="shared" si="5"/>
        <v>86.682727272999998</v>
      </c>
    </row>
    <row r="252" spans="6:11" x14ac:dyDescent="0.3">
      <c r="F252">
        <v>-8.1818181820000007</v>
      </c>
      <c r="G252">
        <v>7.6237479999999996E-3</v>
      </c>
      <c r="H252" s="1">
        <v>1.0712784E-2</v>
      </c>
      <c r="K252" s="12">
        <f t="shared" si="5"/>
        <v>82.591818181999997</v>
      </c>
    </row>
    <row r="253" spans="6:11" x14ac:dyDescent="0.3">
      <c r="F253">
        <v>-4.0909090910000003</v>
      </c>
      <c r="G253">
        <v>7.9759960000000008E-3</v>
      </c>
      <c r="H253" s="1">
        <v>1.0712784E-2</v>
      </c>
      <c r="K253" s="12">
        <f t="shared" si="5"/>
        <v>78.500909090999997</v>
      </c>
    </row>
    <row r="254" spans="6:11" x14ac:dyDescent="0.3">
      <c r="F254">
        <v>0</v>
      </c>
      <c r="G254">
        <v>8.6879250000000009E-3</v>
      </c>
      <c r="H254" s="1">
        <v>1.0712784E-2</v>
      </c>
      <c r="K254" s="12">
        <f t="shared" si="5"/>
        <v>74.41</v>
      </c>
    </row>
    <row r="255" spans="6:11" x14ac:dyDescent="0.3">
      <c r="F255">
        <v>4.0909090910000003</v>
      </c>
      <c r="G255">
        <v>8.4835559999999997E-3</v>
      </c>
      <c r="H255" s="1">
        <v>1.0712784E-2</v>
      </c>
      <c r="K255" s="12">
        <f t="shared" si="5"/>
        <v>70.319090908999996</v>
      </c>
    </row>
    <row r="256" spans="6:11" x14ac:dyDescent="0.3">
      <c r="F256">
        <v>8.1818181820000007</v>
      </c>
      <c r="G256">
        <v>8.4462099999999991E-3</v>
      </c>
      <c r="H256" s="1">
        <v>1.0712784E-2</v>
      </c>
      <c r="K256" s="12">
        <f t="shared" si="5"/>
        <v>66.228181817999996</v>
      </c>
    </row>
    <row r="257" spans="6:11" x14ac:dyDescent="0.3">
      <c r="F257">
        <v>12.272727272999999</v>
      </c>
      <c r="G257">
        <v>7.7549059999999998E-3</v>
      </c>
      <c r="H257" s="1">
        <v>1.0712784E-2</v>
      </c>
      <c r="K257" s="12">
        <f t="shared" si="5"/>
        <v>62.137272726999996</v>
      </c>
    </row>
    <row r="258" spans="6:11" x14ac:dyDescent="0.3">
      <c r="F258">
        <v>16.363636364000001</v>
      </c>
      <c r="G258">
        <v>8.5451729999999997E-3</v>
      </c>
      <c r="H258" s="1">
        <v>1.0712785000000001E-2</v>
      </c>
      <c r="K258" s="12">
        <f t="shared" si="5"/>
        <v>58.046363635999995</v>
      </c>
    </row>
    <row r="259" spans="6:11" x14ac:dyDescent="0.3">
      <c r="F259">
        <v>20.454545455000002</v>
      </c>
      <c r="G259">
        <v>8.787385E-3</v>
      </c>
      <c r="H259" s="1">
        <v>1.0712790999999999E-2</v>
      </c>
      <c r="K259" s="12">
        <f t="shared" si="5"/>
        <v>53.955454544999995</v>
      </c>
    </row>
    <row r="260" spans="6:11" x14ac:dyDescent="0.3">
      <c r="F260">
        <v>24.545454544999998</v>
      </c>
      <c r="G260">
        <v>8.9675529999999996E-3</v>
      </c>
      <c r="H260" s="1">
        <v>1.0712858E-2</v>
      </c>
      <c r="K260" s="12">
        <f t="shared" si="5"/>
        <v>49.864545454999998</v>
      </c>
    </row>
    <row r="261" spans="6:11" x14ac:dyDescent="0.3">
      <c r="F261">
        <v>28.636363635999999</v>
      </c>
      <c r="G261">
        <v>9.3698930000000007E-3</v>
      </c>
      <c r="H261" s="1">
        <v>1.0713456999999999E-2</v>
      </c>
      <c r="K261" s="12">
        <f t="shared" si="5"/>
        <v>45.773636363999998</v>
      </c>
    </row>
    <row r="262" spans="6:11" x14ac:dyDescent="0.3">
      <c r="F262">
        <v>32.727272726999999</v>
      </c>
      <c r="G262">
        <v>1.0064465999999999E-2</v>
      </c>
      <c r="H262" s="1">
        <v>1.0717859E-2</v>
      </c>
      <c r="K262" s="12">
        <f t="shared" si="5"/>
        <v>41.682727272999998</v>
      </c>
    </row>
    <row r="263" spans="6:11" x14ac:dyDescent="0.3">
      <c r="F263">
        <v>36.818181817999999</v>
      </c>
      <c r="G263">
        <v>1.0791919000000001E-2</v>
      </c>
      <c r="H263" s="1">
        <v>1.0744457000000001E-2</v>
      </c>
      <c r="K263" s="12">
        <f t="shared" si="5"/>
        <v>37.591818181999997</v>
      </c>
    </row>
    <row r="264" spans="6:11" x14ac:dyDescent="0.3">
      <c r="F264">
        <v>40.909090909</v>
      </c>
      <c r="G264">
        <v>1.116926E-2</v>
      </c>
      <c r="H264" s="1">
        <v>1.0876412E-2</v>
      </c>
      <c r="K264" s="12">
        <f t="shared" si="5"/>
        <v>33.500909090999997</v>
      </c>
    </row>
    <row r="265" spans="6:11" x14ac:dyDescent="0.3">
      <c r="F265">
        <v>45</v>
      </c>
      <c r="G265">
        <v>1.2949777000000001E-2</v>
      </c>
      <c r="H265" s="1">
        <v>1.1412567E-2</v>
      </c>
      <c r="K265" s="12">
        <f t="shared" si="5"/>
        <v>29.409999999999997</v>
      </c>
    </row>
    <row r="266" spans="6:11" x14ac:dyDescent="0.3">
      <c r="F266">
        <v>49.090909091</v>
      </c>
      <c r="G266">
        <v>1.4872097000000001E-2</v>
      </c>
      <c r="H266" s="1">
        <v>1.3190228E-2</v>
      </c>
      <c r="K266" s="12">
        <f t="shared" si="5"/>
        <v>25.319090908999996</v>
      </c>
    </row>
    <row r="267" spans="6:11" x14ac:dyDescent="0.3">
      <c r="F267">
        <v>53.181818182000001</v>
      </c>
      <c r="G267">
        <v>2.0028483999999999E-2</v>
      </c>
      <c r="H267" s="1">
        <v>1.7973499E-2</v>
      </c>
      <c r="K267" s="12">
        <f t="shared" si="5"/>
        <v>21.228181817999996</v>
      </c>
    </row>
    <row r="268" spans="6:11" x14ac:dyDescent="0.3">
      <c r="F268">
        <v>57.272727273000001</v>
      </c>
      <c r="G268">
        <v>3.4044589E-2</v>
      </c>
      <c r="H268" s="1">
        <v>2.8328071E-2</v>
      </c>
      <c r="K268" s="12">
        <f t="shared" si="5"/>
        <v>17.137272726999996</v>
      </c>
    </row>
    <row r="269" spans="6:11" x14ac:dyDescent="0.3">
      <c r="F269">
        <v>61.363636364000001</v>
      </c>
      <c r="G269">
        <v>5.0805459999999997E-2</v>
      </c>
      <c r="H269" s="1">
        <v>4.6090908E-2</v>
      </c>
      <c r="K269" s="12">
        <f t="shared" si="5"/>
        <v>13.046363635999995</v>
      </c>
    </row>
    <row r="270" spans="6:11" x14ac:dyDescent="0.3">
      <c r="F270">
        <v>65.454545455000002</v>
      </c>
      <c r="G270">
        <v>7.1237401000000006E-2</v>
      </c>
      <c r="H270" s="1">
        <v>6.9531377000000005E-2</v>
      </c>
      <c r="K270" s="12">
        <f t="shared" si="5"/>
        <v>8.9554545449999949</v>
      </c>
    </row>
    <row r="271" spans="6:11" x14ac:dyDescent="0.3">
      <c r="F271">
        <v>69.545454544999998</v>
      </c>
      <c r="G271">
        <v>7.9276152000000003E-2</v>
      </c>
      <c r="H271" s="1">
        <v>9.1665090000000005E-2</v>
      </c>
      <c r="K271" s="12">
        <f t="shared" si="5"/>
        <v>4.8645454549999982</v>
      </c>
    </row>
    <row r="272" spans="6:11" x14ac:dyDescent="0.3">
      <c r="F272">
        <v>73.636363635999999</v>
      </c>
      <c r="G272">
        <v>9.5077501999999994E-2</v>
      </c>
      <c r="H272" s="1">
        <v>0.102944138</v>
      </c>
      <c r="K272" s="12">
        <f t="shared" si="5"/>
        <v>0.77363636399999791</v>
      </c>
    </row>
    <row r="273" spans="1:13" x14ac:dyDescent="0.3">
      <c r="F273">
        <v>77.727272726999999</v>
      </c>
      <c r="G273">
        <v>0.120101466</v>
      </c>
      <c r="H273" s="1">
        <v>9.7701456000000006E-2</v>
      </c>
      <c r="K273" s="12">
        <f t="shared" si="5"/>
        <v>3.3172727270000024</v>
      </c>
    </row>
    <row r="274" spans="1:13" x14ac:dyDescent="0.3">
      <c r="F274">
        <v>81.818181817999999</v>
      </c>
      <c r="G274">
        <v>7.7497702000000002E-2</v>
      </c>
      <c r="H274" s="1">
        <v>7.8630267000000004E-2</v>
      </c>
      <c r="K274" s="12">
        <f t="shared" si="5"/>
        <v>7.4081818180000027</v>
      </c>
    </row>
    <row r="275" spans="1:13" x14ac:dyDescent="0.3">
      <c r="F275">
        <v>85.909090909</v>
      </c>
      <c r="G275">
        <v>4.2343216000000003E-2</v>
      </c>
      <c r="H275" s="1">
        <v>5.4609823000000002E-2</v>
      </c>
      <c r="K275" s="12">
        <f t="shared" si="5"/>
        <v>11.499090909000003</v>
      </c>
    </row>
    <row r="276" spans="1:13" s="15" customFormat="1" x14ac:dyDescent="0.3">
      <c r="F276" s="15">
        <v>90</v>
      </c>
      <c r="G276" s="15">
        <v>3.4508723999999998E-2</v>
      </c>
      <c r="H276" s="16">
        <v>3.4199571999999998E-2</v>
      </c>
      <c r="K276" s="12">
        <f t="shared" si="5"/>
        <v>15.590000000000003</v>
      </c>
    </row>
    <row r="277" spans="1:13" x14ac:dyDescent="0.3">
      <c r="A277" s="9">
        <v>20241115</v>
      </c>
      <c r="B277" s="9">
        <v>78.290000000000006</v>
      </c>
      <c r="C277" s="9">
        <v>10.81</v>
      </c>
      <c r="D277" s="9">
        <v>0.57999999999999996</v>
      </c>
      <c r="E277" s="9">
        <v>0.85</v>
      </c>
      <c r="F277">
        <v>-90</v>
      </c>
      <c r="G277">
        <v>5.4152199999999998E-2</v>
      </c>
      <c r="H277" s="1">
        <v>1.1512984E-2</v>
      </c>
      <c r="K277" s="12">
        <f>MIN(ABS(F277-$B$277), ABS(F277-180-$B$277), ABS(F277+180-$B$277))</f>
        <v>11.709999999999994</v>
      </c>
      <c r="L277" s="13" cm="1">
        <f t="array" ref="L277">SQRT(SUMPRODUCT(G277:G321,K277:K321*K277:K321))</f>
        <v>31.396575106705562</v>
      </c>
      <c r="M277" s="14" cm="1">
        <f t="array" ref="M277">SUMPRODUCT(G277:G321,ABS(K277:K321))</f>
        <v>21.51951874689038</v>
      </c>
    </row>
    <row r="278" spans="1:13" x14ac:dyDescent="0.3">
      <c r="F278">
        <v>-85.909090909</v>
      </c>
      <c r="G278">
        <v>4.0870897000000003E-2</v>
      </c>
      <c r="H278" s="1">
        <v>1.1512984E-2</v>
      </c>
      <c r="K278" s="12">
        <f t="shared" ref="K278:K321" si="6">MIN(ABS(F278-$B$277), ABS(F278-180-$B$277), ABS(F278+180-$B$277))</f>
        <v>15.800909090999994</v>
      </c>
    </row>
    <row r="279" spans="1:13" x14ac:dyDescent="0.3">
      <c r="F279">
        <v>-81.818181817999999</v>
      </c>
      <c r="G279">
        <v>3.0940731999999999E-2</v>
      </c>
      <c r="H279" s="1">
        <v>1.1512984E-2</v>
      </c>
      <c r="K279" s="12">
        <f t="shared" si="6"/>
        <v>19.891818181999994</v>
      </c>
      <c r="L279">
        <f>C277/L277</f>
        <v>0.34430507032250285</v>
      </c>
    </row>
    <row r="280" spans="1:13" x14ac:dyDescent="0.3">
      <c r="F280">
        <v>-77.727272726999999</v>
      </c>
      <c r="G280">
        <v>2.0014865999999999E-2</v>
      </c>
      <c r="H280" s="1">
        <v>1.1512984E-2</v>
      </c>
      <c r="K280" s="12">
        <f t="shared" si="6"/>
        <v>23.982727272999995</v>
      </c>
    </row>
    <row r="281" spans="1:13" x14ac:dyDescent="0.3">
      <c r="F281">
        <v>-73.636363635999999</v>
      </c>
      <c r="G281">
        <v>1.4516670000000001E-2</v>
      </c>
      <c r="H281" s="1">
        <v>1.1512984E-2</v>
      </c>
      <c r="K281" s="12">
        <f t="shared" si="6"/>
        <v>28.073636363999995</v>
      </c>
    </row>
    <row r="282" spans="1:13" x14ac:dyDescent="0.3">
      <c r="F282">
        <v>-69.545454544999998</v>
      </c>
      <c r="G282">
        <v>1.1343196999999999E-2</v>
      </c>
      <c r="H282" s="1">
        <v>1.1512984E-2</v>
      </c>
      <c r="K282" s="12">
        <f t="shared" si="6"/>
        <v>32.164545454999995</v>
      </c>
    </row>
    <row r="283" spans="1:13" x14ac:dyDescent="0.3">
      <c r="F283">
        <v>-65.454545455000002</v>
      </c>
      <c r="G283">
        <v>1.0348655999999999E-2</v>
      </c>
      <c r="H283" s="1">
        <v>1.1512984E-2</v>
      </c>
      <c r="K283" s="12">
        <f t="shared" si="6"/>
        <v>36.255454544999992</v>
      </c>
    </row>
    <row r="284" spans="1:13" x14ac:dyDescent="0.3">
      <c r="F284">
        <v>-61.363636364000001</v>
      </c>
      <c r="G284">
        <v>9.0374860000000008E-3</v>
      </c>
      <c r="H284" s="1">
        <v>1.1512984E-2</v>
      </c>
      <c r="K284" s="12">
        <f t="shared" si="6"/>
        <v>40.346363635999992</v>
      </c>
    </row>
    <row r="285" spans="1:13" x14ac:dyDescent="0.3">
      <c r="F285">
        <v>-57.272727273000001</v>
      </c>
      <c r="G285">
        <v>8.1963039999999997E-3</v>
      </c>
      <c r="H285" s="1">
        <v>1.1512984E-2</v>
      </c>
      <c r="K285" s="12">
        <f t="shared" si="6"/>
        <v>44.437272726999993</v>
      </c>
    </row>
    <row r="286" spans="1:13" x14ac:dyDescent="0.3">
      <c r="F286">
        <v>-53.181818182000001</v>
      </c>
      <c r="G286">
        <v>8.1305890000000006E-3</v>
      </c>
      <c r="H286" s="1">
        <v>1.1512984E-2</v>
      </c>
      <c r="K286" s="12">
        <f t="shared" si="6"/>
        <v>48.528181817999993</v>
      </c>
    </row>
    <row r="287" spans="1:13" x14ac:dyDescent="0.3">
      <c r="F287">
        <v>-49.090909091</v>
      </c>
      <c r="G287">
        <v>7.5845549999999998E-3</v>
      </c>
      <c r="H287" s="1">
        <v>1.1512984E-2</v>
      </c>
      <c r="K287" s="12">
        <f t="shared" si="6"/>
        <v>52.619090908999979</v>
      </c>
    </row>
    <row r="288" spans="1:13" x14ac:dyDescent="0.3">
      <c r="F288">
        <v>-45</v>
      </c>
      <c r="G288">
        <v>7.4170030000000001E-3</v>
      </c>
      <c r="H288" s="1">
        <v>1.1512984E-2</v>
      </c>
      <c r="K288" s="12">
        <f t="shared" si="6"/>
        <v>56.709999999999994</v>
      </c>
    </row>
    <row r="289" spans="6:11" x14ac:dyDescent="0.3">
      <c r="F289">
        <v>-40.909090909</v>
      </c>
      <c r="G289">
        <v>6.9800039999999997E-3</v>
      </c>
      <c r="H289" s="1">
        <v>1.1512984E-2</v>
      </c>
      <c r="K289" s="12">
        <f t="shared" si="6"/>
        <v>60.800909091000008</v>
      </c>
    </row>
    <row r="290" spans="6:11" x14ac:dyDescent="0.3">
      <c r="F290">
        <v>-36.818181817999999</v>
      </c>
      <c r="G290">
        <v>6.8779899999999996E-3</v>
      </c>
      <c r="H290" s="1">
        <v>1.1512984E-2</v>
      </c>
      <c r="K290" s="12">
        <f t="shared" si="6"/>
        <v>64.891818181999994</v>
      </c>
    </row>
    <row r="291" spans="6:11" x14ac:dyDescent="0.3">
      <c r="F291">
        <v>-32.727272726999999</v>
      </c>
      <c r="G291">
        <v>6.8158230000000004E-3</v>
      </c>
      <c r="H291" s="1">
        <v>1.1512984E-2</v>
      </c>
      <c r="K291" s="12">
        <f t="shared" si="6"/>
        <v>68.982727272999981</v>
      </c>
    </row>
    <row r="292" spans="6:11" x14ac:dyDescent="0.3">
      <c r="F292">
        <v>-28.636363635999999</v>
      </c>
      <c r="G292">
        <v>6.9511570000000003E-3</v>
      </c>
      <c r="H292" s="1">
        <v>1.1512984E-2</v>
      </c>
      <c r="K292" s="12">
        <f t="shared" si="6"/>
        <v>73.073636363999995</v>
      </c>
    </row>
    <row r="293" spans="6:11" x14ac:dyDescent="0.3">
      <c r="F293">
        <v>-24.545454544999998</v>
      </c>
      <c r="G293">
        <v>6.4886859999999996E-3</v>
      </c>
      <c r="H293" s="1">
        <v>1.1512984E-2</v>
      </c>
      <c r="K293" s="12">
        <f t="shared" si="6"/>
        <v>77.16454545500001</v>
      </c>
    </row>
    <row r="294" spans="6:11" x14ac:dyDescent="0.3">
      <c r="F294">
        <v>-20.454545455000002</v>
      </c>
      <c r="G294">
        <v>6.7397430000000003E-3</v>
      </c>
      <c r="H294" s="1">
        <v>1.1512984E-2</v>
      </c>
      <c r="K294" s="12">
        <f t="shared" si="6"/>
        <v>81.255454544999978</v>
      </c>
    </row>
    <row r="295" spans="6:11" x14ac:dyDescent="0.3">
      <c r="F295">
        <v>-16.363636364000001</v>
      </c>
      <c r="G295">
        <v>6.8382959999999998E-3</v>
      </c>
      <c r="H295" s="1">
        <v>1.1512984E-2</v>
      </c>
      <c r="K295" s="12">
        <f t="shared" si="6"/>
        <v>85.346363635999992</v>
      </c>
    </row>
    <row r="296" spans="6:11" x14ac:dyDescent="0.3">
      <c r="F296">
        <v>-12.272727272999999</v>
      </c>
      <c r="G296">
        <v>6.7472579999999999E-3</v>
      </c>
      <c r="H296" s="1">
        <v>1.1512984E-2</v>
      </c>
      <c r="K296" s="12">
        <f t="shared" si="6"/>
        <v>89.437272727000007</v>
      </c>
    </row>
    <row r="297" spans="6:11" x14ac:dyDescent="0.3">
      <c r="F297">
        <v>-8.1818181820000007</v>
      </c>
      <c r="G297">
        <v>7.1211879999999997E-3</v>
      </c>
      <c r="H297" s="1">
        <v>1.1512984E-2</v>
      </c>
      <c r="K297" s="12">
        <f t="shared" si="6"/>
        <v>86.471818182000007</v>
      </c>
    </row>
    <row r="298" spans="6:11" x14ac:dyDescent="0.3">
      <c r="F298">
        <v>-4.0909090910000003</v>
      </c>
      <c r="G298">
        <v>7.2839139999999998E-3</v>
      </c>
      <c r="H298" s="1">
        <v>1.1512984E-2</v>
      </c>
      <c r="K298" s="12">
        <f t="shared" si="6"/>
        <v>82.380909091000007</v>
      </c>
    </row>
    <row r="299" spans="6:11" x14ac:dyDescent="0.3">
      <c r="F299">
        <v>0</v>
      </c>
      <c r="G299">
        <v>8.2388979999999997E-3</v>
      </c>
      <c r="H299" s="1">
        <v>1.1512984E-2</v>
      </c>
      <c r="K299" s="12">
        <f t="shared" si="6"/>
        <v>78.290000000000006</v>
      </c>
    </row>
    <row r="300" spans="6:11" x14ac:dyDescent="0.3">
      <c r="F300">
        <v>4.0909090910000003</v>
      </c>
      <c r="G300">
        <v>7.7844480000000002E-3</v>
      </c>
      <c r="H300" s="1">
        <v>1.1512984E-2</v>
      </c>
      <c r="K300" s="12">
        <f t="shared" si="6"/>
        <v>74.199090909000006</v>
      </c>
    </row>
    <row r="301" spans="6:11" x14ac:dyDescent="0.3">
      <c r="F301">
        <v>8.1818181820000007</v>
      </c>
      <c r="G301">
        <v>7.6653229999999999E-3</v>
      </c>
      <c r="H301" s="1">
        <v>1.1512984E-2</v>
      </c>
      <c r="K301" s="12">
        <f t="shared" si="6"/>
        <v>70.108181818000006</v>
      </c>
    </row>
    <row r="302" spans="6:11" x14ac:dyDescent="0.3">
      <c r="F302">
        <v>12.272727272999999</v>
      </c>
      <c r="G302">
        <v>7.7632860000000003E-3</v>
      </c>
      <c r="H302" s="1">
        <v>1.1512984E-2</v>
      </c>
      <c r="K302" s="12">
        <f t="shared" si="6"/>
        <v>66.017272727000005</v>
      </c>
    </row>
    <row r="303" spans="6:11" x14ac:dyDescent="0.3">
      <c r="F303">
        <v>16.363636364000001</v>
      </c>
      <c r="G303">
        <v>8.0877220000000003E-3</v>
      </c>
      <c r="H303" s="1">
        <v>1.1512990000000001E-2</v>
      </c>
      <c r="K303" s="12">
        <f t="shared" si="6"/>
        <v>61.926363636000005</v>
      </c>
    </row>
    <row r="304" spans="6:11" x14ac:dyDescent="0.3">
      <c r="F304">
        <v>20.454545455000002</v>
      </c>
      <c r="G304">
        <v>8.4233439999999993E-3</v>
      </c>
      <c r="H304" s="1">
        <v>1.1513033000000001E-2</v>
      </c>
      <c r="K304" s="12">
        <f t="shared" si="6"/>
        <v>57.835454545000005</v>
      </c>
    </row>
    <row r="305" spans="6:11" x14ac:dyDescent="0.3">
      <c r="F305">
        <v>24.545454544999998</v>
      </c>
      <c r="G305">
        <v>8.4910739999999995E-3</v>
      </c>
      <c r="H305" s="1">
        <v>1.1513333000000001E-2</v>
      </c>
      <c r="K305" s="12">
        <f t="shared" si="6"/>
        <v>53.744545455000008</v>
      </c>
    </row>
    <row r="306" spans="6:11" x14ac:dyDescent="0.3">
      <c r="F306">
        <v>28.636363635999999</v>
      </c>
      <c r="G306">
        <v>8.0381359999999995E-3</v>
      </c>
      <c r="H306" s="1">
        <v>1.1515118E-2</v>
      </c>
      <c r="K306" s="12">
        <f t="shared" si="6"/>
        <v>49.653636364000008</v>
      </c>
    </row>
    <row r="307" spans="6:11" x14ac:dyDescent="0.3">
      <c r="F307">
        <v>32.727272726999999</v>
      </c>
      <c r="G307">
        <v>8.5257270000000003E-3</v>
      </c>
      <c r="H307" s="1">
        <v>1.1524273E-2</v>
      </c>
      <c r="K307" s="12">
        <f t="shared" si="6"/>
        <v>45.562727273000007</v>
      </c>
    </row>
    <row r="308" spans="6:11" x14ac:dyDescent="0.3">
      <c r="F308">
        <v>36.818181817999999</v>
      </c>
      <c r="G308">
        <v>9.8602450000000001E-3</v>
      </c>
      <c r="H308" s="1">
        <v>1.1564724E-2</v>
      </c>
      <c r="K308" s="12">
        <f t="shared" si="6"/>
        <v>41.471818182000007</v>
      </c>
    </row>
    <row r="309" spans="6:11" x14ac:dyDescent="0.3">
      <c r="F309">
        <v>40.909090909</v>
      </c>
      <c r="G309">
        <v>1.0265332E-2</v>
      </c>
      <c r="H309" s="1">
        <v>1.1718493999999999E-2</v>
      </c>
      <c r="K309" s="12">
        <f t="shared" si="6"/>
        <v>37.380909091000007</v>
      </c>
    </row>
    <row r="310" spans="6:11" x14ac:dyDescent="0.3">
      <c r="F310">
        <v>45</v>
      </c>
      <c r="G310">
        <v>1.1359039E-2</v>
      </c>
      <c r="H310" s="1">
        <v>1.2220416E-2</v>
      </c>
      <c r="K310" s="12">
        <f t="shared" si="6"/>
        <v>33.290000000000006</v>
      </c>
    </row>
    <row r="311" spans="6:11" x14ac:dyDescent="0.3">
      <c r="F311">
        <v>49.090909091</v>
      </c>
      <c r="G311">
        <v>1.2234093999999999E-2</v>
      </c>
      <c r="H311" s="1">
        <v>1.362348E-2</v>
      </c>
      <c r="K311" s="12">
        <f t="shared" si="6"/>
        <v>29.199090909000006</v>
      </c>
    </row>
    <row r="312" spans="6:11" x14ac:dyDescent="0.3">
      <c r="F312">
        <v>53.181818182000001</v>
      </c>
      <c r="G312">
        <v>1.4683076999999999E-2</v>
      </c>
      <c r="H312" s="1">
        <v>1.6969722E-2</v>
      </c>
      <c r="K312" s="12">
        <f t="shared" si="6"/>
        <v>25.108181818000006</v>
      </c>
    </row>
    <row r="313" spans="6:11" x14ac:dyDescent="0.3">
      <c r="F313">
        <v>57.272727273000001</v>
      </c>
      <c r="G313">
        <v>2.1871621000000001E-2</v>
      </c>
      <c r="H313" s="1">
        <v>2.3740284E-2</v>
      </c>
      <c r="K313" s="12">
        <f t="shared" si="6"/>
        <v>21.017272727000005</v>
      </c>
    </row>
    <row r="314" spans="6:11" x14ac:dyDescent="0.3">
      <c r="F314">
        <v>61.363636364000001</v>
      </c>
      <c r="G314">
        <v>3.3001759999999998E-2</v>
      </c>
      <c r="H314" s="1">
        <v>3.5258234999999999E-2</v>
      </c>
      <c r="K314" s="12">
        <f t="shared" si="6"/>
        <v>16.926363636000005</v>
      </c>
    </row>
    <row r="315" spans="6:11" x14ac:dyDescent="0.3">
      <c r="F315">
        <v>65.454545455000002</v>
      </c>
      <c r="G315">
        <v>6.1425626999999997E-2</v>
      </c>
      <c r="H315" s="1">
        <v>5.147724E-2</v>
      </c>
      <c r="K315" s="12">
        <f t="shared" si="6"/>
        <v>12.835454545000005</v>
      </c>
    </row>
    <row r="316" spans="6:11" x14ac:dyDescent="0.3">
      <c r="F316">
        <v>69.545454544999998</v>
      </c>
      <c r="G316">
        <v>7.0008286000000003E-2</v>
      </c>
      <c r="H316" s="1">
        <v>6.9805861999999996E-2</v>
      </c>
      <c r="K316" s="12">
        <f t="shared" si="6"/>
        <v>8.7445454550000079</v>
      </c>
    </row>
    <row r="317" spans="6:11" x14ac:dyDescent="0.3">
      <c r="F317">
        <v>73.636363635999999</v>
      </c>
      <c r="G317">
        <v>7.6039512000000004E-2</v>
      </c>
      <c r="H317" s="1">
        <v>8.5202897E-2</v>
      </c>
      <c r="K317" s="12">
        <f t="shared" si="6"/>
        <v>4.6536363640000076</v>
      </c>
    </row>
    <row r="318" spans="6:11" x14ac:dyDescent="0.3">
      <c r="F318">
        <v>77.727272726999999</v>
      </c>
      <c r="G318">
        <v>9.0712582999999999E-2</v>
      </c>
      <c r="H318" s="1">
        <v>9.2245663000000006E-2</v>
      </c>
      <c r="K318" s="12">
        <f t="shared" si="6"/>
        <v>0.56272727300000724</v>
      </c>
    </row>
    <row r="319" spans="6:11" x14ac:dyDescent="0.3">
      <c r="F319">
        <v>81.818181817999999</v>
      </c>
      <c r="G319">
        <v>9.7969626000000004E-2</v>
      </c>
      <c r="H319" s="1">
        <v>8.8167805000000002E-2</v>
      </c>
      <c r="K319" s="12">
        <f t="shared" si="6"/>
        <v>3.5281818179999931</v>
      </c>
    </row>
    <row r="320" spans="6:11" x14ac:dyDescent="0.3">
      <c r="F320">
        <v>85.909090909</v>
      </c>
      <c r="G320">
        <v>7.2001827000000004E-2</v>
      </c>
      <c r="H320" s="1">
        <v>7.4591049000000006E-2</v>
      </c>
      <c r="K320" s="12">
        <f t="shared" si="6"/>
        <v>7.6190909089999934</v>
      </c>
    </row>
    <row r="321" spans="1:13" s="15" customFormat="1" x14ac:dyDescent="0.3">
      <c r="F321" s="15">
        <v>90</v>
      </c>
      <c r="G321" s="15">
        <v>5.4152199999999998E-2</v>
      </c>
      <c r="H321" s="16">
        <v>5.6497809000000003E-2</v>
      </c>
      <c r="K321" s="12">
        <f t="shared" si="6"/>
        <v>11.709999999999994</v>
      </c>
    </row>
    <row r="322" spans="1:13" x14ac:dyDescent="0.3">
      <c r="A322" s="9">
        <v>20241115</v>
      </c>
      <c r="B322" s="9">
        <v>-88.75</v>
      </c>
      <c r="C322" s="9">
        <v>6.92</v>
      </c>
      <c r="D322" s="9">
        <v>0.28999999999999998</v>
      </c>
      <c r="E322" s="9">
        <v>0.28999999999999998</v>
      </c>
      <c r="F322">
        <v>-90</v>
      </c>
      <c r="G322">
        <v>9.4703026999999995E-2</v>
      </c>
      <c r="H322" s="1">
        <v>9.2995535000000004E-2</v>
      </c>
      <c r="K322" s="12">
        <f>MIN(ABS(F322-$B$322), ABS(F322-180-$B$322), ABS(F322+180-$B$322))</f>
        <v>1.25</v>
      </c>
      <c r="L322" s="13" cm="1">
        <f t="array" ref="L322">SQRT(SUMPRODUCT(G322:G366,K322:K366*K322:K366))</f>
        <v>28.229098696975417</v>
      </c>
      <c r="M322" s="14" cm="1">
        <f t="array" ref="M322">SUMPRODUCT(G322:G366,ABS(K322:K366))</f>
        <v>18.55455056325658</v>
      </c>
    </row>
    <row r="323" spans="1:13" x14ac:dyDescent="0.3">
      <c r="A323" t="s">
        <v>25</v>
      </c>
      <c r="F323">
        <v>-85.909090909</v>
      </c>
      <c r="G323">
        <v>8.3410476999999997E-2</v>
      </c>
      <c r="H323" s="1">
        <v>8.8043926999999994E-2</v>
      </c>
      <c r="K323" s="12">
        <f t="shared" ref="K323:K366" si="7">MIN(ABS(F323-$B$322), ABS(F323-180-$B$322), ABS(F323+180-$B$322))</f>
        <v>2.8409090910000003</v>
      </c>
    </row>
    <row r="324" spans="1:13" x14ac:dyDescent="0.3">
      <c r="F324">
        <v>-81.818181817999999</v>
      </c>
      <c r="G324">
        <v>6.8730291999999998E-2</v>
      </c>
      <c r="H324" s="1">
        <v>6.39044E-2</v>
      </c>
      <c r="K324" s="12">
        <f t="shared" si="7"/>
        <v>6.9318181820000007</v>
      </c>
    </row>
    <row r="325" spans="1:13" x14ac:dyDescent="0.3">
      <c r="F325">
        <v>-77.727272726999999</v>
      </c>
      <c r="G325">
        <v>3.9031102999999998E-2</v>
      </c>
      <c r="H325" s="1">
        <v>3.8928392999999999E-2</v>
      </c>
      <c r="K325" s="12">
        <f t="shared" si="7"/>
        <v>11.022727273000001</v>
      </c>
    </row>
    <row r="326" spans="1:13" x14ac:dyDescent="0.3">
      <c r="F326">
        <v>-73.636363635999999</v>
      </c>
      <c r="G326">
        <v>2.1968821999999999E-2</v>
      </c>
      <c r="H326" s="1">
        <v>2.4350762000000001E-2</v>
      </c>
      <c r="K326" s="12">
        <f t="shared" si="7"/>
        <v>15.113636364000001</v>
      </c>
      <c r="L326">
        <f>C322/L322</f>
        <v>0.24513712160216569</v>
      </c>
    </row>
    <row r="327" spans="1:13" x14ac:dyDescent="0.3">
      <c r="F327">
        <v>-69.545454544999998</v>
      </c>
      <c r="G327">
        <v>1.3030475E-2</v>
      </c>
      <c r="H327" s="1">
        <v>1.8887491999999999E-2</v>
      </c>
      <c r="K327" s="12">
        <f t="shared" si="7"/>
        <v>19.204545455000002</v>
      </c>
    </row>
    <row r="328" spans="1:13" x14ac:dyDescent="0.3">
      <c r="F328">
        <v>-65.454545455000002</v>
      </c>
      <c r="G328">
        <v>1.0432874999999999E-2</v>
      </c>
      <c r="H328" s="1">
        <v>1.7513325E-2</v>
      </c>
      <c r="K328" s="12">
        <f t="shared" si="7"/>
        <v>23.295454544999998</v>
      </c>
    </row>
    <row r="329" spans="1:13" x14ac:dyDescent="0.3">
      <c r="F329">
        <v>-61.363636364000001</v>
      </c>
      <c r="G329">
        <v>9.3284309999999999E-3</v>
      </c>
      <c r="H329" s="1">
        <v>1.7276590000000001E-2</v>
      </c>
      <c r="K329" s="12">
        <f t="shared" si="7"/>
        <v>27.386363635999999</v>
      </c>
    </row>
    <row r="330" spans="1:13" x14ac:dyDescent="0.3">
      <c r="F330">
        <v>-57.272727273000001</v>
      </c>
      <c r="G330">
        <v>8.8397679999999996E-3</v>
      </c>
      <c r="H330" s="1">
        <v>1.7248352000000002E-2</v>
      </c>
      <c r="K330" s="12">
        <f t="shared" si="7"/>
        <v>31.477272726999999</v>
      </c>
    </row>
    <row r="331" spans="1:13" x14ac:dyDescent="0.3">
      <c r="F331">
        <v>-53.181818182000001</v>
      </c>
      <c r="G331">
        <v>7.918619E-3</v>
      </c>
      <c r="H331" s="1">
        <v>1.7246004999999998E-2</v>
      </c>
      <c r="K331" s="12">
        <f t="shared" si="7"/>
        <v>35.568181817999999</v>
      </c>
    </row>
    <row r="332" spans="1:13" x14ac:dyDescent="0.3">
      <c r="F332">
        <v>-49.090909091</v>
      </c>
      <c r="G332">
        <v>6.8178529999999996E-3</v>
      </c>
      <c r="H332" s="1">
        <v>1.7245869E-2</v>
      </c>
      <c r="K332" s="12">
        <f t="shared" si="7"/>
        <v>39.659090909</v>
      </c>
    </row>
    <row r="333" spans="1:13" x14ac:dyDescent="0.3">
      <c r="F333">
        <v>-45</v>
      </c>
      <c r="G333">
        <v>6.0841530000000001E-3</v>
      </c>
      <c r="H333" s="1">
        <v>1.7245863E-2</v>
      </c>
      <c r="K333" s="12">
        <f t="shared" si="7"/>
        <v>43.75</v>
      </c>
    </row>
    <row r="334" spans="1:13" x14ac:dyDescent="0.3">
      <c r="F334">
        <v>-40.909090909</v>
      </c>
      <c r="G334">
        <v>5.745053E-3</v>
      </c>
      <c r="H334" s="1">
        <v>1.7245863E-2</v>
      </c>
      <c r="K334" s="12">
        <f t="shared" si="7"/>
        <v>47.840909091</v>
      </c>
    </row>
    <row r="335" spans="1:13" x14ac:dyDescent="0.3">
      <c r="F335">
        <v>-36.818181817999999</v>
      </c>
      <c r="G335">
        <v>5.86843E-3</v>
      </c>
      <c r="H335" s="1">
        <v>1.7245863E-2</v>
      </c>
      <c r="K335" s="12">
        <f t="shared" si="7"/>
        <v>51.931818182000001</v>
      </c>
    </row>
    <row r="336" spans="1:13" x14ac:dyDescent="0.3">
      <c r="F336">
        <v>-32.727272726999999</v>
      </c>
      <c r="G336">
        <v>5.426579E-3</v>
      </c>
      <c r="H336" s="1">
        <v>1.7245863E-2</v>
      </c>
      <c r="K336" s="12">
        <f t="shared" si="7"/>
        <v>56.022727273000001</v>
      </c>
    </row>
    <row r="337" spans="6:11" x14ac:dyDescent="0.3">
      <c r="F337">
        <v>-28.636363635999999</v>
      </c>
      <c r="G337">
        <v>5.1479469999999999E-3</v>
      </c>
      <c r="H337" s="1">
        <v>1.7245863E-2</v>
      </c>
      <c r="K337" s="12">
        <f t="shared" si="7"/>
        <v>60.113636364000001</v>
      </c>
    </row>
    <row r="338" spans="6:11" x14ac:dyDescent="0.3">
      <c r="F338">
        <v>-24.545454544999998</v>
      </c>
      <c r="G338">
        <v>5.0401999999999999E-3</v>
      </c>
      <c r="H338" s="1">
        <v>1.7245863E-2</v>
      </c>
      <c r="K338" s="12">
        <f t="shared" si="7"/>
        <v>64.204545455000002</v>
      </c>
    </row>
    <row r="339" spans="6:11" x14ac:dyDescent="0.3">
      <c r="F339">
        <v>-20.454545455000002</v>
      </c>
      <c r="G339">
        <v>5.0920059999999996E-3</v>
      </c>
      <c r="H339" s="1">
        <v>1.7245863E-2</v>
      </c>
      <c r="K339" s="12">
        <f t="shared" si="7"/>
        <v>68.295454544999998</v>
      </c>
    </row>
    <row r="340" spans="6:11" x14ac:dyDescent="0.3">
      <c r="F340">
        <v>-16.363636364000001</v>
      </c>
      <c r="G340">
        <v>5.1487649999999996E-3</v>
      </c>
      <c r="H340" s="1">
        <v>1.7245863E-2</v>
      </c>
      <c r="K340" s="12">
        <f t="shared" si="7"/>
        <v>72.386363635999999</v>
      </c>
    </row>
    <row r="341" spans="6:11" x14ac:dyDescent="0.3">
      <c r="F341">
        <v>-12.272727272999999</v>
      </c>
      <c r="G341">
        <v>5.2962950000000003E-3</v>
      </c>
      <c r="H341" s="1">
        <v>1.7245863E-2</v>
      </c>
      <c r="K341" s="12">
        <f t="shared" si="7"/>
        <v>76.477272726999999</v>
      </c>
    </row>
    <row r="342" spans="6:11" x14ac:dyDescent="0.3">
      <c r="F342">
        <v>-8.1818181820000007</v>
      </c>
      <c r="G342">
        <v>5.0777460000000002E-3</v>
      </c>
      <c r="H342" s="1">
        <v>1.7245863E-2</v>
      </c>
      <c r="K342" s="12">
        <f t="shared" si="7"/>
        <v>80.568181817999999</v>
      </c>
    </row>
    <row r="343" spans="6:11" x14ac:dyDescent="0.3">
      <c r="F343">
        <v>-4.0909090910000003</v>
      </c>
      <c r="G343">
        <v>5.317731E-3</v>
      </c>
      <c r="H343" s="1">
        <v>1.7245863E-2</v>
      </c>
      <c r="K343" s="12">
        <f t="shared" si="7"/>
        <v>84.659090909</v>
      </c>
    </row>
    <row r="344" spans="6:11" x14ac:dyDescent="0.3">
      <c r="F344">
        <v>0</v>
      </c>
      <c r="G344">
        <v>6.1583769999999996E-3</v>
      </c>
      <c r="H344" s="1">
        <v>1.7245863E-2</v>
      </c>
      <c r="K344" s="12">
        <f t="shared" si="7"/>
        <v>88.75</v>
      </c>
    </row>
    <row r="345" spans="6:11" x14ac:dyDescent="0.3">
      <c r="F345">
        <v>4.0909090910000003</v>
      </c>
      <c r="G345">
        <v>5.2529009999999999E-3</v>
      </c>
      <c r="H345" s="1">
        <v>1.7245863E-2</v>
      </c>
      <c r="K345" s="12">
        <f t="shared" si="7"/>
        <v>87.159090908999985</v>
      </c>
    </row>
    <row r="346" spans="6:11" x14ac:dyDescent="0.3">
      <c r="F346">
        <v>8.1818181820000007</v>
      </c>
      <c r="G346">
        <v>5.2919899999999999E-3</v>
      </c>
      <c r="H346" s="1">
        <v>1.7245863E-2</v>
      </c>
      <c r="K346" s="12">
        <f t="shared" si="7"/>
        <v>83.068181817999999</v>
      </c>
    </row>
    <row r="347" spans="6:11" x14ac:dyDescent="0.3">
      <c r="F347">
        <v>12.272727272999999</v>
      </c>
      <c r="G347">
        <v>5.1748059999999997E-3</v>
      </c>
      <c r="H347" s="1">
        <v>1.7245863E-2</v>
      </c>
      <c r="K347" s="12">
        <f t="shared" si="7"/>
        <v>78.977272727000013</v>
      </c>
    </row>
    <row r="348" spans="6:11" x14ac:dyDescent="0.3">
      <c r="F348">
        <v>16.363636364000001</v>
      </c>
      <c r="G348">
        <v>5.3087389999999998E-3</v>
      </c>
      <c r="H348" s="1">
        <v>1.7245863E-2</v>
      </c>
      <c r="K348" s="12">
        <f t="shared" si="7"/>
        <v>74.886363635999999</v>
      </c>
    </row>
    <row r="349" spans="6:11" x14ac:dyDescent="0.3">
      <c r="F349">
        <v>20.454545455000002</v>
      </c>
      <c r="G349">
        <v>5.7830310000000001E-3</v>
      </c>
      <c r="H349" s="1">
        <v>1.7245863E-2</v>
      </c>
      <c r="K349" s="12">
        <f t="shared" si="7"/>
        <v>70.795454544999984</v>
      </c>
    </row>
    <row r="350" spans="6:11" x14ac:dyDescent="0.3">
      <c r="F350">
        <v>24.545454544999998</v>
      </c>
      <c r="G350">
        <v>6.0202989999999998E-3</v>
      </c>
      <c r="H350" s="1">
        <v>1.7245863E-2</v>
      </c>
      <c r="K350" s="12">
        <f t="shared" si="7"/>
        <v>66.704545455000016</v>
      </c>
    </row>
    <row r="351" spans="6:11" x14ac:dyDescent="0.3">
      <c r="F351">
        <v>28.636363635999999</v>
      </c>
      <c r="G351">
        <v>5.7698289999999998E-3</v>
      </c>
      <c r="H351" s="1">
        <v>1.7245863E-2</v>
      </c>
      <c r="K351" s="12">
        <f t="shared" si="7"/>
        <v>62.613636364000001</v>
      </c>
    </row>
    <row r="352" spans="6:11" x14ac:dyDescent="0.3">
      <c r="F352">
        <v>32.727272726999999</v>
      </c>
      <c r="G352">
        <v>5.8069430000000002E-3</v>
      </c>
      <c r="H352" s="1">
        <v>1.7245863E-2</v>
      </c>
      <c r="K352" s="12">
        <f t="shared" si="7"/>
        <v>58.522727272999987</v>
      </c>
    </row>
    <row r="353" spans="6:11" x14ac:dyDescent="0.3">
      <c r="F353">
        <v>36.818181817999999</v>
      </c>
      <c r="G353">
        <v>6.096115E-3</v>
      </c>
      <c r="H353" s="1">
        <v>1.7245863E-2</v>
      </c>
      <c r="K353" s="12">
        <f t="shared" si="7"/>
        <v>54.431818182000001</v>
      </c>
    </row>
    <row r="354" spans="6:11" x14ac:dyDescent="0.3">
      <c r="F354">
        <v>40.909090909</v>
      </c>
      <c r="G354">
        <v>6.5291500000000001E-3</v>
      </c>
      <c r="H354" s="1">
        <v>1.7245863E-2</v>
      </c>
      <c r="K354" s="12">
        <f t="shared" si="7"/>
        <v>50.340909091000015</v>
      </c>
    </row>
    <row r="355" spans="6:11" x14ac:dyDescent="0.3">
      <c r="F355">
        <v>45</v>
      </c>
      <c r="G355">
        <v>7.4133189999999998E-3</v>
      </c>
      <c r="H355" s="1">
        <v>1.7245863E-2</v>
      </c>
      <c r="K355" s="12">
        <f t="shared" si="7"/>
        <v>46.25</v>
      </c>
    </row>
    <row r="356" spans="6:11" x14ac:dyDescent="0.3">
      <c r="F356">
        <v>49.090909091</v>
      </c>
      <c r="G356">
        <v>8.8126409999999995E-3</v>
      </c>
      <c r="H356" s="1">
        <v>1.7245863E-2</v>
      </c>
      <c r="K356" s="12">
        <f t="shared" si="7"/>
        <v>42.159090908999985</v>
      </c>
    </row>
    <row r="357" spans="6:11" x14ac:dyDescent="0.3">
      <c r="F357">
        <v>53.181818182000001</v>
      </c>
      <c r="G357">
        <v>1.1412495E-2</v>
      </c>
      <c r="H357" s="1">
        <v>1.7245863E-2</v>
      </c>
      <c r="K357" s="12">
        <f t="shared" si="7"/>
        <v>38.068181817999999</v>
      </c>
    </row>
    <row r="358" spans="6:11" x14ac:dyDescent="0.3">
      <c r="F358">
        <v>57.272727273000001</v>
      </c>
      <c r="G358">
        <v>1.515177E-2</v>
      </c>
      <c r="H358" s="1">
        <v>1.7245863E-2</v>
      </c>
      <c r="K358" s="12">
        <f t="shared" si="7"/>
        <v>33.977272726999999</v>
      </c>
    </row>
    <row r="359" spans="6:11" x14ac:dyDescent="0.3">
      <c r="F359">
        <v>61.363636364000001</v>
      </c>
      <c r="G359">
        <v>2.3273215E-2</v>
      </c>
      <c r="H359" s="1">
        <v>1.7245863E-2</v>
      </c>
      <c r="K359" s="12">
        <f t="shared" si="7"/>
        <v>29.886363635999999</v>
      </c>
    </row>
    <row r="360" spans="6:11" x14ac:dyDescent="0.3">
      <c r="F360">
        <v>65.454545455000002</v>
      </c>
      <c r="G360">
        <v>3.7645708E-2</v>
      </c>
      <c r="H360" s="1">
        <v>1.7245863E-2</v>
      </c>
      <c r="K360" s="12">
        <f t="shared" si="7"/>
        <v>25.795454544999998</v>
      </c>
    </row>
    <row r="361" spans="6:11" x14ac:dyDescent="0.3">
      <c r="F361">
        <v>69.545454544999998</v>
      </c>
      <c r="G361">
        <v>4.5351607000000002E-2</v>
      </c>
      <c r="H361" s="1">
        <v>1.7245863E-2</v>
      </c>
      <c r="K361" s="12">
        <f t="shared" si="7"/>
        <v>21.704545455000002</v>
      </c>
    </row>
    <row r="362" spans="6:11" x14ac:dyDescent="0.3">
      <c r="F362">
        <v>73.636363635999999</v>
      </c>
      <c r="G362">
        <v>4.3637950000000002E-2</v>
      </c>
      <c r="H362" s="1">
        <v>1.7245863E-2</v>
      </c>
      <c r="K362" s="12">
        <f t="shared" si="7"/>
        <v>17.613636364000001</v>
      </c>
    </row>
    <row r="363" spans="6:11" x14ac:dyDescent="0.3">
      <c r="F363">
        <v>77.727272726999999</v>
      </c>
      <c r="G363">
        <v>5.7110901999999998E-2</v>
      </c>
      <c r="H363" s="1">
        <v>1.7245863E-2</v>
      </c>
      <c r="K363" s="12">
        <f t="shared" si="7"/>
        <v>13.522727273000001</v>
      </c>
    </row>
    <row r="364" spans="6:11" x14ac:dyDescent="0.3">
      <c r="F364">
        <v>81.818181817999999</v>
      </c>
      <c r="G364">
        <v>7.7066739999999995E-2</v>
      </c>
      <c r="H364" s="1">
        <v>1.7245863E-2</v>
      </c>
      <c r="K364" s="12">
        <f t="shared" si="7"/>
        <v>9.4318181820000007</v>
      </c>
    </row>
    <row r="365" spans="6:11" x14ac:dyDescent="0.3">
      <c r="F365">
        <v>85.909090909</v>
      </c>
      <c r="G365">
        <v>9.1771797000000002E-2</v>
      </c>
      <c r="H365" s="1">
        <v>1.7245863E-2</v>
      </c>
      <c r="K365" s="12">
        <f t="shared" si="7"/>
        <v>5.3409090910000003</v>
      </c>
    </row>
    <row r="366" spans="6:11" x14ac:dyDescent="0.3">
      <c r="F366">
        <v>90</v>
      </c>
      <c r="G366">
        <v>9.4703026999999995E-2</v>
      </c>
      <c r="H366" s="1">
        <v>1.7245863E-2</v>
      </c>
      <c r="K366" s="12">
        <f t="shared" si="7"/>
        <v>1.25</v>
      </c>
    </row>
  </sheetData>
  <conditionalFormatting sqref="K1:K366">
    <cfRule type="cellIs" dxfId="1" priority="1" operator="notBetween">
      <formula>0</formula>
      <formula>90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B386-2C04-463E-8671-F4FDD5622720}">
  <dimension ref="A1:M366"/>
  <sheetViews>
    <sheetView topLeftCell="A78" zoomScale="70" zoomScaleNormal="70" workbookViewId="0">
      <selection activeCell="J107" sqref="J107"/>
    </sheetView>
  </sheetViews>
  <sheetFormatPr defaultColWidth="8.6640625" defaultRowHeight="14.4" x14ac:dyDescent="0.3"/>
  <cols>
    <col min="1" max="1" width="31.44140625" bestFit="1" customWidth="1"/>
    <col min="2" max="2" width="15.21875" bestFit="1" customWidth="1"/>
    <col min="3" max="3" width="10.5546875" bestFit="1" customWidth="1"/>
    <col min="4" max="4" width="7.88671875" bestFit="1" customWidth="1"/>
    <col min="5" max="5" width="9.44140625" bestFit="1" customWidth="1"/>
    <col min="6" max="6" width="13.88671875" bestFit="1" customWidth="1"/>
    <col min="7" max="7" width="17.77734375" bestFit="1" customWidth="1"/>
    <col min="8" max="8" width="13.33203125" style="1" bestFit="1" customWidth="1"/>
    <col min="9" max="9" width="19.109375" bestFit="1" customWidth="1"/>
    <col min="10" max="10" width="19.5546875" bestFit="1" customWidth="1"/>
    <col min="11" max="11" width="17" bestFit="1" customWidth="1"/>
    <col min="12" max="12" width="26.88671875" bestFit="1" customWidth="1"/>
    <col min="13" max="13" width="25.77734375" bestFit="1" customWidth="1"/>
  </cols>
  <sheetData>
    <row r="1" spans="1:13" ht="18" x14ac:dyDescent="0.35">
      <c r="A1" s="2" t="s">
        <v>0</v>
      </c>
      <c r="B1" s="3" t="s">
        <v>1</v>
      </c>
      <c r="F1" s="20"/>
      <c r="G1" s="20"/>
      <c r="H1" s="21"/>
    </row>
    <row r="2" spans="1:13" x14ac:dyDescent="0.3">
      <c r="F2" s="20"/>
      <c r="G2" s="20"/>
      <c r="H2" s="21"/>
    </row>
    <row r="3" spans="1:13" x14ac:dyDescent="0.3">
      <c r="F3" s="20"/>
      <c r="G3" s="20"/>
      <c r="H3" s="21"/>
      <c r="I3">
        <f>MIN(2, 3, 0)</f>
        <v>0</v>
      </c>
      <c r="K3" t="s">
        <v>2</v>
      </c>
    </row>
    <row r="4" spans="1:13" x14ac:dyDescent="0.3">
      <c r="A4" s="4" t="s">
        <v>3</v>
      </c>
      <c r="B4" t="s">
        <v>4</v>
      </c>
      <c r="F4" s="20"/>
      <c r="G4" s="20"/>
      <c r="H4" s="21"/>
      <c r="K4" t="s">
        <v>5</v>
      </c>
    </row>
    <row r="5" spans="1:13" x14ac:dyDescent="0.3">
      <c r="F5" s="20"/>
      <c r="G5" s="20"/>
      <c r="H5" s="21"/>
      <c r="I5" t="s">
        <v>6</v>
      </c>
      <c r="J5" t="s">
        <v>6</v>
      </c>
      <c r="K5" t="s">
        <v>7</v>
      </c>
      <c r="L5" t="s">
        <v>7</v>
      </c>
      <c r="M5" t="s">
        <v>7</v>
      </c>
    </row>
    <row r="6" spans="1:13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22" t="s">
        <v>9</v>
      </c>
      <c r="G6" s="22" t="s">
        <v>13</v>
      </c>
      <c r="H6" s="22" t="s">
        <v>14</v>
      </c>
      <c r="I6" s="6" t="s">
        <v>15</v>
      </c>
      <c r="J6" s="7" t="s">
        <v>16</v>
      </c>
      <c r="K6" s="8" t="s">
        <v>17</v>
      </c>
      <c r="L6" t="s">
        <v>18</v>
      </c>
      <c r="M6" t="s">
        <v>19</v>
      </c>
    </row>
    <row r="7" spans="1:13" x14ac:dyDescent="0.3">
      <c r="A7" s="9">
        <v>20241115</v>
      </c>
      <c r="B7" s="9">
        <v>-118.23</v>
      </c>
      <c r="C7" s="9" t="s">
        <v>28</v>
      </c>
      <c r="D7" s="9" t="s">
        <v>29</v>
      </c>
      <c r="E7" s="9" t="s">
        <v>26</v>
      </c>
      <c r="F7">
        <v>-90</v>
      </c>
      <c r="G7">
        <v>0.14975047499999999</v>
      </c>
      <c r="H7" s="1">
        <v>0.14919666600000001</v>
      </c>
      <c r="K7" s="12">
        <f>MIN(ABS(F7-$B$7), ABS(F7-180-$B$7), ABS(F7+180-$B$7))</f>
        <v>28.230000000000004</v>
      </c>
      <c r="L7" s="13" cm="1">
        <f t="array" ref="L7">SQRT(SUMPRODUCT(G7:G51,K7:K51*K7:K51))</f>
        <v>36.093618976127217</v>
      </c>
      <c r="M7" s="14" cm="1">
        <f t="array" ref="M7">SUMPRODUCT(G7:G51,ABS(K7:K51))</f>
        <v>31.938736353455308</v>
      </c>
    </row>
    <row r="8" spans="1:13" x14ac:dyDescent="0.3">
      <c r="A8" t="s">
        <v>30</v>
      </c>
      <c r="F8">
        <v>-85.909090909</v>
      </c>
      <c r="G8">
        <v>8.9567360999999998E-2</v>
      </c>
      <c r="H8" s="1">
        <v>9.1121916999999997E-2</v>
      </c>
      <c r="K8" s="12">
        <f t="shared" ref="K8:K51" si="0">MIN(ABS(F8-$B$7), ABS(F8-180-$B$7), ABS(F8+180-$B$7))</f>
        <v>32.320909091000004</v>
      </c>
    </row>
    <row r="9" spans="1:13" x14ac:dyDescent="0.3">
      <c r="F9">
        <v>-81.818181817999999</v>
      </c>
      <c r="G9">
        <v>5.4449915000000002E-2</v>
      </c>
      <c r="H9" s="1">
        <v>5.5210139999999998E-2</v>
      </c>
      <c r="K9" s="12">
        <f t="shared" si="0"/>
        <v>36.411818182000005</v>
      </c>
    </row>
    <row r="10" spans="1:13" x14ac:dyDescent="0.3">
      <c r="F10">
        <v>-77.727272726999999</v>
      </c>
      <c r="G10">
        <v>3.9249180000000002E-2</v>
      </c>
      <c r="H10" s="1">
        <v>3.4938403E-2</v>
      </c>
      <c r="K10" s="12">
        <f t="shared" si="0"/>
        <v>40.502727273000005</v>
      </c>
    </row>
    <row r="11" spans="1:13" x14ac:dyDescent="0.3">
      <c r="F11">
        <v>-73.636363635999999</v>
      </c>
      <c r="G11">
        <v>2.5202886000000001E-2</v>
      </c>
      <c r="H11" s="1">
        <v>2.4462186E-2</v>
      </c>
      <c r="K11" s="12">
        <f t="shared" si="0"/>
        <v>44.593636364000005</v>
      </c>
    </row>
    <row r="12" spans="1:13" x14ac:dyDescent="0.3">
      <c r="F12">
        <v>-69.545454544999998</v>
      </c>
      <c r="G12">
        <v>1.8223459000000001E-2</v>
      </c>
      <c r="H12" s="1">
        <v>1.9495288E-2</v>
      </c>
      <c r="K12" s="12">
        <f t="shared" si="0"/>
        <v>48.684545455000006</v>
      </c>
    </row>
    <row r="13" spans="1:13" x14ac:dyDescent="0.3">
      <c r="F13">
        <v>-65.454545455000002</v>
      </c>
      <c r="G13">
        <v>1.2957901000000001E-2</v>
      </c>
      <c r="H13" s="1">
        <v>1.7331516000000002E-2</v>
      </c>
      <c r="K13" s="12">
        <f t="shared" si="0"/>
        <v>52.775454545000002</v>
      </c>
    </row>
    <row r="14" spans="1:13" x14ac:dyDescent="0.3">
      <c r="F14">
        <v>-61.363636364000001</v>
      </c>
      <c r="G14">
        <v>1.0171813E-2</v>
      </c>
      <c r="H14" s="1">
        <v>1.6464349999999999E-2</v>
      </c>
      <c r="K14" s="12">
        <f t="shared" si="0"/>
        <v>56.866363636000003</v>
      </c>
    </row>
    <row r="15" spans="1:13" x14ac:dyDescent="0.3">
      <c r="F15">
        <v>-57.272727273000001</v>
      </c>
      <c r="G15">
        <v>8.6063860000000006E-3</v>
      </c>
      <c r="H15" s="1">
        <v>1.6144339000000001E-2</v>
      </c>
      <c r="K15" s="12">
        <f t="shared" si="0"/>
        <v>60.957272727000003</v>
      </c>
    </row>
    <row r="16" spans="1:13" x14ac:dyDescent="0.3">
      <c r="F16">
        <v>-53.181818182000001</v>
      </c>
      <c r="G16">
        <v>6.9103480000000002E-3</v>
      </c>
      <c r="H16" s="1">
        <v>1.6035515E-2</v>
      </c>
      <c r="K16" s="12">
        <f t="shared" si="0"/>
        <v>65.048181818000003</v>
      </c>
    </row>
    <row r="17" spans="6:12" x14ac:dyDescent="0.3">
      <c r="F17">
        <v>-49.090909091</v>
      </c>
      <c r="G17">
        <v>6.1433599999999996E-3</v>
      </c>
      <c r="H17" s="1">
        <v>1.6001392E-2</v>
      </c>
      <c r="K17" s="12">
        <f t="shared" si="0"/>
        <v>69.139090909000004</v>
      </c>
    </row>
    <row r="18" spans="6:12" x14ac:dyDescent="0.3">
      <c r="F18">
        <v>-45</v>
      </c>
      <c r="G18">
        <v>5.8987550000000003E-3</v>
      </c>
      <c r="H18" s="1">
        <v>1.5991522000000001E-2</v>
      </c>
      <c r="K18" s="12">
        <f t="shared" si="0"/>
        <v>73.23</v>
      </c>
    </row>
    <row r="19" spans="6:12" x14ac:dyDescent="0.3">
      <c r="F19">
        <v>-40.909090909</v>
      </c>
      <c r="G19">
        <v>5.7064960000000001E-3</v>
      </c>
      <c r="H19" s="1">
        <v>1.5988887E-2</v>
      </c>
      <c r="K19" s="12">
        <f t="shared" si="0"/>
        <v>77.320909091000004</v>
      </c>
    </row>
    <row r="20" spans="6:12" x14ac:dyDescent="0.3">
      <c r="F20">
        <v>-36.818181817999999</v>
      </c>
      <c r="G20">
        <v>5.7150739999999997E-3</v>
      </c>
      <c r="H20" s="1">
        <v>1.5988237999999998E-2</v>
      </c>
      <c r="K20" s="12">
        <f t="shared" si="0"/>
        <v>81.411818182000005</v>
      </c>
    </row>
    <row r="21" spans="6:12" x14ac:dyDescent="0.3">
      <c r="F21">
        <v>-32.727272726999999</v>
      </c>
      <c r="G21">
        <v>5.3871759999999996E-3</v>
      </c>
      <c r="H21" s="1">
        <v>1.598809E-2</v>
      </c>
      <c r="K21" s="12">
        <f t="shared" si="0"/>
        <v>85.502727273000005</v>
      </c>
      <c r="L21" s="12"/>
    </row>
    <row r="22" spans="6:12" x14ac:dyDescent="0.3">
      <c r="F22">
        <v>-28.636363635999999</v>
      </c>
      <c r="G22">
        <v>5.096214E-3</v>
      </c>
      <c r="H22" s="1">
        <v>1.5988058999999999E-2</v>
      </c>
      <c r="K22" s="12">
        <f t="shared" si="0"/>
        <v>89.593636364000005</v>
      </c>
    </row>
    <row r="23" spans="6:12" x14ac:dyDescent="0.3">
      <c r="F23">
        <v>-24.545454544999998</v>
      </c>
      <c r="G23">
        <v>4.8348729999999999E-3</v>
      </c>
      <c r="H23" s="1">
        <v>1.5988052999999999E-2</v>
      </c>
      <c r="K23" s="12">
        <f t="shared" si="0"/>
        <v>86.31545454499998</v>
      </c>
    </row>
    <row r="24" spans="6:12" x14ac:dyDescent="0.3">
      <c r="F24">
        <v>-20.454545455000002</v>
      </c>
      <c r="G24">
        <v>5.3033350000000002E-3</v>
      </c>
      <c r="H24" s="1">
        <v>1.5988051999999999E-2</v>
      </c>
      <c r="K24" s="12">
        <f t="shared" si="0"/>
        <v>82.224545455000012</v>
      </c>
    </row>
    <row r="25" spans="6:12" x14ac:dyDescent="0.3">
      <c r="F25">
        <v>-16.363636364000001</v>
      </c>
      <c r="G25">
        <v>4.5391920000000001E-3</v>
      </c>
      <c r="H25" s="1">
        <v>1.5988051E-2</v>
      </c>
      <c r="K25" s="12">
        <f t="shared" si="0"/>
        <v>78.133636363999997</v>
      </c>
    </row>
    <row r="26" spans="6:12" x14ac:dyDescent="0.3">
      <c r="F26">
        <v>-12.272727272999999</v>
      </c>
      <c r="G26">
        <v>5.0487759999999996E-3</v>
      </c>
      <c r="H26" s="1">
        <v>1.5988051E-2</v>
      </c>
      <c r="K26" s="12">
        <f t="shared" si="0"/>
        <v>74.042727272999983</v>
      </c>
    </row>
    <row r="27" spans="6:12" x14ac:dyDescent="0.3">
      <c r="F27">
        <v>-8.1818181820000007</v>
      </c>
      <c r="G27">
        <v>5.5544699999999997E-3</v>
      </c>
      <c r="H27" s="1">
        <v>1.5988051E-2</v>
      </c>
      <c r="K27" s="12">
        <f t="shared" si="0"/>
        <v>69.951818181999997</v>
      </c>
    </row>
    <row r="28" spans="6:12" x14ac:dyDescent="0.3">
      <c r="F28">
        <v>-4.0909090910000003</v>
      </c>
      <c r="G28">
        <v>5.3218440000000001E-3</v>
      </c>
      <c r="H28" s="1">
        <v>1.5988051E-2</v>
      </c>
      <c r="K28" s="12">
        <f t="shared" si="0"/>
        <v>65.860909091000011</v>
      </c>
    </row>
    <row r="29" spans="6:12" x14ac:dyDescent="0.3">
      <c r="F29">
        <v>0</v>
      </c>
      <c r="G29">
        <v>6.9502160000000004E-3</v>
      </c>
      <c r="H29" s="1">
        <v>1.5988051E-2</v>
      </c>
      <c r="K29" s="12">
        <f t="shared" si="0"/>
        <v>61.769999999999996</v>
      </c>
    </row>
    <row r="30" spans="6:12" x14ac:dyDescent="0.3">
      <c r="F30">
        <v>4.0909090910000003</v>
      </c>
      <c r="G30">
        <v>5.3450329999999999E-3</v>
      </c>
      <c r="H30" s="1">
        <v>1.5988051E-2</v>
      </c>
      <c r="K30" s="12">
        <f t="shared" si="0"/>
        <v>57.679090908999981</v>
      </c>
    </row>
    <row r="31" spans="6:12" x14ac:dyDescent="0.3">
      <c r="F31">
        <v>8.1818181820000007</v>
      </c>
      <c r="G31">
        <v>5.7501310000000003E-3</v>
      </c>
      <c r="H31" s="1">
        <v>1.5988051E-2</v>
      </c>
      <c r="K31" s="12">
        <f t="shared" si="0"/>
        <v>53.588181817999995</v>
      </c>
    </row>
    <row r="32" spans="6:12" x14ac:dyDescent="0.3">
      <c r="F32">
        <v>12.272727272999999</v>
      </c>
      <c r="G32">
        <v>4.9016140000000003E-3</v>
      </c>
      <c r="H32" s="1">
        <v>1.5988051E-2</v>
      </c>
      <c r="K32" s="12">
        <f t="shared" si="0"/>
        <v>49.497272727000009</v>
      </c>
    </row>
    <row r="33" spans="6:11" x14ac:dyDescent="0.3">
      <c r="F33">
        <v>16.363636364000001</v>
      </c>
      <c r="G33">
        <v>4.8676709999999996E-3</v>
      </c>
      <c r="H33" s="1">
        <v>1.5988051E-2</v>
      </c>
      <c r="K33" s="12">
        <f t="shared" si="0"/>
        <v>45.406363635999995</v>
      </c>
    </row>
    <row r="34" spans="6:11" x14ac:dyDescent="0.3">
      <c r="F34">
        <v>20.454545455000002</v>
      </c>
      <c r="G34">
        <v>4.6905569999999997E-3</v>
      </c>
      <c r="H34" s="1">
        <v>1.5988051E-2</v>
      </c>
      <c r="K34" s="12">
        <f t="shared" si="0"/>
        <v>41.31545454499998</v>
      </c>
    </row>
    <row r="35" spans="6:11" x14ac:dyDescent="0.3">
      <c r="F35">
        <v>24.545454544999998</v>
      </c>
      <c r="G35">
        <v>4.7277329999999996E-3</v>
      </c>
      <c r="H35" s="1">
        <v>1.5988051E-2</v>
      </c>
      <c r="K35" s="12">
        <f t="shared" si="0"/>
        <v>37.224545455000012</v>
      </c>
    </row>
    <row r="36" spans="6:11" x14ac:dyDescent="0.3">
      <c r="F36">
        <v>28.636363635999999</v>
      </c>
      <c r="G36">
        <v>4.5596810000000003E-3</v>
      </c>
      <c r="H36" s="1">
        <v>1.5988051E-2</v>
      </c>
      <c r="K36" s="12">
        <f t="shared" si="0"/>
        <v>33.133636363999997</v>
      </c>
    </row>
    <row r="37" spans="6:11" x14ac:dyDescent="0.3">
      <c r="F37">
        <v>32.727272726999999</v>
      </c>
      <c r="G37">
        <v>4.5927850000000003E-3</v>
      </c>
      <c r="H37" s="1">
        <v>1.5988051E-2</v>
      </c>
      <c r="K37" s="12">
        <f t="shared" si="0"/>
        <v>29.042727272999983</v>
      </c>
    </row>
    <row r="38" spans="6:11" x14ac:dyDescent="0.3">
      <c r="F38">
        <v>36.818181817999999</v>
      </c>
      <c r="G38">
        <v>4.8070999999999999E-3</v>
      </c>
      <c r="H38" s="1">
        <v>1.5988051E-2</v>
      </c>
      <c r="K38" s="12">
        <f t="shared" si="0"/>
        <v>24.951818181999997</v>
      </c>
    </row>
    <row r="39" spans="6:11" x14ac:dyDescent="0.3">
      <c r="F39">
        <v>40.909090909</v>
      </c>
      <c r="G39">
        <v>5.231327E-3</v>
      </c>
      <c r="H39" s="1">
        <v>1.5988051E-2</v>
      </c>
      <c r="K39" s="12">
        <f t="shared" si="0"/>
        <v>20.860909091000011</v>
      </c>
    </row>
    <row r="40" spans="6:11" x14ac:dyDescent="0.3">
      <c r="F40">
        <v>45</v>
      </c>
      <c r="G40">
        <v>6.0239789999999996E-3</v>
      </c>
      <c r="H40" s="1">
        <v>1.5988051E-2</v>
      </c>
      <c r="K40" s="12">
        <f t="shared" si="0"/>
        <v>16.769999999999996</v>
      </c>
    </row>
    <row r="41" spans="6:11" x14ac:dyDescent="0.3">
      <c r="F41">
        <v>49.090909091</v>
      </c>
      <c r="G41">
        <v>6.411974E-3</v>
      </c>
      <c r="H41" s="1">
        <v>1.5988051E-2</v>
      </c>
      <c r="K41" s="12">
        <f t="shared" si="0"/>
        <v>12.679090908999981</v>
      </c>
    </row>
    <row r="42" spans="6:11" x14ac:dyDescent="0.3">
      <c r="F42">
        <v>53.181818182000001</v>
      </c>
      <c r="G42">
        <v>7.1749099999999996E-3</v>
      </c>
      <c r="H42" s="1">
        <v>1.5988051E-2</v>
      </c>
      <c r="K42" s="12">
        <f t="shared" si="0"/>
        <v>8.5881818179999954</v>
      </c>
    </row>
    <row r="43" spans="6:11" x14ac:dyDescent="0.3">
      <c r="F43">
        <v>57.272727273000001</v>
      </c>
      <c r="G43">
        <v>7.7839129999999999E-3</v>
      </c>
      <c r="H43" s="1">
        <v>1.5988051E-2</v>
      </c>
      <c r="K43" s="12">
        <f t="shared" si="0"/>
        <v>4.497272726999995</v>
      </c>
    </row>
    <row r="44" spans="6:11" x14ac:dyDescent="0.3">
      <c r="F44">
        <v>61.363636364000001</v>
      </c>
      <c r="G44">
        <v>1.0938674000000001E-2</v>
      </c>
      <c r="H44" s="1">
        <v>1.5988051E-2</v>
      </c>
      <c r="K44" s="12">
        <f t="shared" si="0"/>
        <v>0.4063636359999947</v>
      </c>
    </row>
    <row r="45" spans="6:11" x14ac:dyDescent="0.3">
      <c r="F45">
        <v>65.454545455000002</v>
      </c>
      <c r="G45">
        <v>1.5130459000000001E-2</v>
      </c>
      <c r="H45" s="1">
        <v>1.5988051E-2</v>
      </c>
      <c r="K45" s="12">
        <f t="shared" si="0"/>
        <v>3.6845454550000056</v>
      </c>
    </row>
    <row r="46" spans="6:11" x14ac:dyDescent="0.3">
      <c r="F46">
        <v>69.545454544999998</v>
      </c>
      <c r="G46">
        <v>2.0127091E-2</v>
      </c>
      <c r="H46" s="1">
        <v>1.5988051E-2</v>
      </c>
      <c r="K46" s="12">
        <f t="shared" si="0"/>
        <v>7.7754545450000023</v>
      </c>
    </row>
    <row r="47" spans="6:11" x14ac:dyDescent="0.3">
      <c r="F47">
        <v>73.636363635999999</v>
      </c>
      <c r="G47">
        <v>2.7131701000000001E-2</v>
      </c>
      <c r="H47" s="1">
        <v>1.5988051E-2</v>
      </c>
      <c r="K47" s="12">
        <f t="shared" si="0"/>
        <v>11.866363636000003</v>
      </c>
    </row>
    <row r="48" spans="6:11" x14ac:dyDescent="0.3">
      <c r="F48">
        <v>77.727272726999999</v>
      </c>
      <c r="G48">
        <v>3.8667449E-2</v>
      </c>
      <c r="H48" s="1">
        <v>1.5988051E-2</v>
      </c>
      <c r="K48" s="12">
        <f t="shared" si="0"/>
        <v>15.957272727000003</v>
      </c>
    </row>
    <row r="49" spans="1:13" x14ac:dyDescent="0.3">
      <c r="F49">
        <v>81.818181817999999</v>
      </c>
      <c r="G49">
        <v>6.8201275000000006E-2</v>
      </c>
      <c r="H49" s="1">
        <v>1.5988051E-2</v>
      </c>
      <c r="K49" s="12">
        <f t="shared" si="0"/>
        <v>20.048181818000003</v>
      </c>
    </row>
    <row r="50" spans="1:13" x14ac:dyDescent="0.3">
      <c r="F50">
        <v>85.909090909</v>
      </c>
      <c r="G50">
        <v>0.10659496</v>
      </c>
      <c r="H50" s="1">
        <v>1.5988051E-2</v>
      </c>
      <c r="K50" s="12">
        <f t="shared" si="0"/>
        <v>24.139090909000004</v>
      </c>
    </row>
    <row r="51" spans="1:13" s="15" customFormat="1" x14ac:dyDescent="0.3">
      <c r="F51" s="15">
        <v>90</v>
      </c>
      <c r="G51" s="15">
        <v>0.14975047499999999</v>
      </c>
      <c r="H51" s="16">
        <v>1.5988051E-2</v>
      </c>
      <c r="K51" s="12">
        <f t="shared" si="0"/>
        <v>28.230000000000004</v>
      </c>
    </row>
    <row r="52" spans="1:13" x14ac:dyDescent="0.3">
      <c r="A52" s="9">
        <v>20241115</v>
      </c>
      <c r="B52" s="9">
        <v>77.92</v>
      </c>
      <c r="C52" s="9" t="s">
        <v>31</v>
      </c>
      <c r="D52" s="9" t="s">
        <v>32</v>
      </c>
      <c r="E52" s="9" t="s">
        <v>33</v>
      </c>
      <c r="F52">
        <v>-90</v>
      </c>
      <c r="G52">
        <v>5.3897682000000002E-2</v>
      </c>
      <c r="H52" s="1">
        <v>1.2615660000000001E-2</v>
      </c>
      <c r="K52" s="12">
        <f>MIN(ABS(F52-$B$52), ABS(F52-180-$B$52), ABS(F52+180-$B$52))</f>
        <v>12.079999999999998</v>
      </c>
      <c r="L52" s="13" cm="1">
        <f t="array" ref="L52">SQRT(SUMPRODUCT(G52:G96,K52:K96*K52:K96))</f>
        <v>32.048823006542797</v>
      </c>
      <c r="M52" s="14" cm="1">
        <f t="array" ref="M52">SUMPRODUCT(G52:G96,ABS(K52:K96))</f>
        <v>22.589355830608916</v>
      </c>
    </row>
    <row r="53" spans="1:13" x14ac:dyDescent="0.3">
      <c r="A53" t="s">
        <v>34</v>
      </c>
      <c r="F53">
        <v>-85.909090909</v>
      </c>
      <c r="G53">
        <v>3.4275180000000002E-2</v>
      </c>
      <c r="H53" s="1">
        <v>1.2615660000000001E-2</v>
      </c>
      <c r="K53" s="12">
        <f t="shared" ref="K53:K96" si="1">MIN(ABS(F53-$B$52), ABS(F53-180-$B$52), ABS(F53+180-$B$52))</f>
        <v>16.170909090999999</v>
      </c>
    </row>
    <row r="54" spans="1:13" x14ac:dyDescent="0.3">
      <c r="F54">
        <v>-81.818181817999999</v>
      </c>
      <c r="G54">
        <v>2.4465263000000001E-2</v>
      </c>
      <c r="H54" s="1">
        <v>1.2615660000000001E-2</v>
      </c>
      <c r="K54" s="12">
        <f t="shared" si="1"/>
        <v>20.261818181999999</v>
      </c>
    </row>
    <row r="55" spans="1:13" x14ac:dyDescent="0.3">
      <c r="F55">
        <v>-77.727272726999999</v>
      </c>
      <c r="G55">
        <v>2.1831315E-2</v>
      </c>
      <c r="H55" s="1">
        <v>1.2615660000000001E-2</v>
      </c>
      <c r="K55" s="12">
        <f t="shared" si="1"/>
        <v>24.352727272999999</v>
      </c>
    </row>
    <row r="56" spans="1:13" x14ac:dyDescent="0.3">
      <c r="F56">
        <v>-73.636363635999999</v>
      </c>
      <c r="G56">
        <v>1.7866459000000001E-2</v>
      </c>
      <c r="H56" s="1">
        <v>1.2615660000000001E-2</v>
      </c>
      <c r="K56" s="12">
        <f t="shared" si="1"/>
        <v>28.443636364</v>
      </c>
    </row>
    <row r="57" spans="1:13" x14ac:dyDescent="0.3">
      <c r="F57">
        <v>-69.545454544999998</v>
      </c>
      <c r="G57">
        <v>1.5428590000000001E-2</v>
      </c>
      <c r="H57" s="1">
        <v>1.2615660000000001E-2</v>
      </c>
      <c r="K57" s="12">
        <f t="shared" si="1"/>
        <v>32.534545455</v>
      </c>
    </row>
    <row r="58" spans="1:13" x14ac:dyDescent="0.3">
      <c r="F58">
        <v>-65.454545455000002</v>
      </c>
      <c r="G58">
        <v>1.2199494E-2</v>
      </c>
      <c r="H58" s="1">
        <v>1.2615660000000001E-2</v>
      </c>
      <c r="K58" s="12">
        <f t="shared" si="1"/>
        <v>36.625454544999997</v>
      </c>
    </row>
    <row r="59" spans="1:13" x14ac:dyDescent="0.3">
      <c r="F59">
        <v>-61.363636364000001</v>
      </c>
      <c r="G59">
        <v>1.1374944999999999E-2</v>
      </c>
      <c r="H59" s="1">
        <v>1.2615660000000001E-2</v>
      </c>
      <c r="K59" s="12">
        <f t="shared" si="1"/>
        <v>40.716363635999997</v>
      </c>
    </row>
    <row r="60" spans="1:13" x14ac:dyDescent="0.3">
      <c r="F60">
        <v>-57.272727273000001</v>
      </c>
      <c r="G60">
        <v>9.5716369999999992E-3</v>
      </c>
      <c r="H60" s="1">
        <v>1.2615660000000001E-2</v>
      </c>
      <c r="K60" s="12">
        <f t="shared" si="1"/>
        <v>44.807272726999997</v>
      </c>
    </row>
    <row r="61" spans="1:13" x14ac:dyDescent="0.3">
      <c r="F61">
        <v>-53.181818182000001</v>
      </c>
      <c r="G61">
        <v>8.5362019999999997E-3</v>
      </c>
      <c r="H61" s="1">
        <v>1.2615660000000001E-2</v>
      </c>
      <c r="K61" s="12">
        <f t="shared" si="1"/>
        <v>48.898181817999998</v>
      </c>
    </row>
    <row r="62" spans="1:13" x14ac:dyDescent="0.3">
      <c r="F62">
        <v>-49.090909091</v>
      </c>
      <c r="G62">
        <v>7.485645E-3</v>
      </c>
      <c r="H62" s="1">
        <v>1.2615660000000001E-2</v>
      </c>
      <c r="K62" s="12">
        <f t="shared" si="1"/>
        <v>52.989090908999984</v>
      </c>
    </row>
    <row r="63" spans="1:13" x14ac:dyDescent="0.3">
      <c r="F63">
        <v>-45</v>
      </c>
      <c r="G63">
        <v>7.1574680000000002E-3</v>
      </c>
      <c r="H63" s="1">
        <v>1.2615660000000001E-2</v>
      </c>
      <c r="K63" s="12">
        <f t="shared" si="1"/>
        <v>57.08</v>
      </c>
    </row>
    <row r="64" spans="1:13" x14ac:dyDescent="0.3">
      <c r="F64">
        <v>-40.909090909</v>
      </c>
      <c r="G64">
        <v>6.487044E-3</v>
      </c>
      <c r="H64" s="1">
        <v>1.2615660000000001E-2</v>
      </c>
      <c r="K64" s="12">
        <f t="shared" si="1"/>
        <v>61.170909091000013</v>
      </c>
    </row>
    <row r="65" spans="6:11" x14ac:dyDescent="0.3">
      <c r="F65">
        <v>-36.818181817999999</v>
      </c>
      <c r="G65">
        <v>6.1377799999999998E-3</v>
      </c>
      <c r="H65" s="1">
        <v>1.2615660000000001E-2</v>
      </c>
      <c r="K65" s="12">
        <f t="shared" si="1"/>
        <v>65.261818181999999</v>
      </c>
    </row>
    <row r="66" spans="6:11" x14ac:dyDescent="0.3">
      <c r="F66">
        <v>-32.727272726999999</v>
      </c>
      <c r="G66">
        <v>5.7887590000000001E-3</v>
      </c>
      <c r="H66" s="1">
        <v>1.2615660000000001E-2</v>
      </c>
      <c r="K66" s="12">
        <f t="shared" si="1"/>
        <v>69.352727272999985</v>
      </c>
    </row>
    <row r="67" spans="6:11" x14ac:dyDescent="0.3">
      <c r="F67">
        <v>-28.636363635999999</v>
      </c>
      <c r="G67">
        <v>5.6889990000000001E-3</v>
      </c>
      <c r="H67" s="1">
        <v>1.2615660000000001E-2</v>
      </c>
      <c r="K67" s="12">
        <f t="shared" si="1"/>
        <v>73.443636364</v>
      </c>
    </row>
    <row r="68" spans="6:11" x14ac:dyDescent="0.3">
      <c r="F68">
        <v>-24.545454544999998</v>
      </c>
      <c r="G68">
        <v>5.8363039999999996E-3</v>
      </c>
      <c r="H68" s="1">
        <v>1.2615660000000001E-2</v>
      </c>
      <c r="K68" s="12">
        <f t="shared" si="1"/>
        <v>77.534545455000014</v>
      </c>
    </row>
    <row r="69" spans="6:11" x14ac:dyDescent="0.3">
      <c r="F69">
        <v>-20.454545455000002</v>
      </c>
      <c r="G69">
        <v>5.9948309999999999E-3</v>
      </c>
      <c r="H69" s="1">
        <v>1.2615660000000001E-2</v>
      </c>
      <c r="K69" s="12">
        <f t="shared" si="1"/>
        <v>81.625454544999982</v>
      </c>
    </row>
    <row r="70" spans="6:11" x14ac:dyDescent="0.3">
      <c r="F70">
        <v>-16.363636364000001</v>
      </c>
      <c r="G70">
        <v>6.1022580000000002E-3</v>
      </c>
      <c r="H70" s="1">
        <v>1.2615660000000001E-2</v>
      </c>
      <c r="K70" s="12">
        <f t="shared" si="1"/>
        <v>85.716363635999997</v>
      </c>
    </row>
    <row r="71" spans="6:11" x14ac:dyDescent="0.3">
      <c r="F71">
        <v>-12.272727272999999</v>
      </c>
      <c r="G71">
        <v>6.4954380000000001E-3</v>
      </c>
      <c r="H71" s="1">
        <v>1.2615660000000001E-2</v>
      </c>
      <c r="K71" s="12">
        <f t="shared" si="1"/>
        <v>89.807272727000012</v>
      </c>
    </row>
    <row r="72" spans="6:11" x14ac:dyDescent="0.3">
      <c r="F72">
        <v>-8.1818181820000007</v>
      </c>
      <c r="G72">
        <v>6.7371059999999997E-3</v>
      </c>
      <c r="H72" s="1">
        <v>1.2615660000000001E-2</v>
      </c>
      <c r="K72" s="12">
        <f t="shared" si="1"/>
        <v>86.101818182000002</v>
      </c>
    </row>
    <row r="73" spans="6:11" x14ac:dyDescent="0.3">
      <c r="F73">
        <v>-4.0909090910000003</v>
      </c>
      <c r="G73">
        <v>7.4101890000000002E-3</v>
      </c>
      <c r="H73" s="1">
        <v>1.2615660000000001E-2</v>
      </c>
      <c r="K73" s="12">
        <f t="shared" si="1"/>
        <v>82.010909091000002</v>
      </c>
    </row>
    <row r="74" spans="6:11" x14ac:dyDescent="0.3">
      <c r="F74">
        <v>0</v>
      </c>
      <c r="G74">
        <v>7.6380479999999997E-3</v>
      </c>
      <c r="H74" s="1">
        <v>1.2615660000000001E-2</v>
      </c>
      <c r="K74" s="12">
        <f t="shared" si="1"/>
        <v>77.92</v>
      </c>
    </row>
    <row r="75" spans="6:11" x14ac:dyDescent="0.3">
      <c r="F75">
        <v>4.0909090910000003</v>
      </c>
      <c r="G75">
        <v>7.947506E-3</v>
      </c>
      <c r="H75" s="1">
        <v>1.2615660000000001E-2</v>
      </c>
      <c r="K75" s="12">
        <f t="shared" si="1"/>
        <v>73.829090909000001</v>
      </c>
    </row>
    <row r="76" spans="6:11" x14ac:dyDescent="0.3">
      <c r="F76">
        <v>8.1818181820000007</v>
      </c>
      <c r="G76">
        <v>8.0138750000000002E-3</v>
      </c>
      <c r="H76" s="1">
        <v>1.2615660000000001E-2</v>
      </c>
      <c r="K76" s="12">
        <f t="shared" si="1"/>
        <v>69.738181818000001</v>
      </c>
    </row>
    <row r="77" spans="6:11" x14ac:dyDescent="0.3">
      <c r="F77">
        <v>12.272727272999999</v>
      </c>
      <c r="G77">
        <v>8.6255169999999992E-3</v>
      </c>
      <c r="H77" s="1">
        <v>1.2615660000000001E-2</v>
      </c>
      <c r="K77" s="12">
        <f t="shared" si="1"/>
        <v>65.647272727000001</v>
      </c>
    </row>
    <row r="78" spans="6:11" x14ac:dyDescent="0.3">
      <c r="F78">
        <v>16.363636364000001</v>
      </c>
      <c r="G78">
        <v>9.2550040000000007E-3</v>
      </c>
      <c r="H78" s="1">
        <v>1.2615660000000001E-2</v>
      </c>
      <c r="K78" s="12">
        <f t="shared" si="1"/>
        <v>61.556363636</v>
      </c>
    </row>
    <row r="79" spans="6:11" x14ac:dyDescent="0.3">
      <c r="F79">
        <v>20.454545455000002</v>
      </c>
      <c r="G79">
        <v>1.0087173E-2</v>
      </c>
      <c r="H79" s="1">
        <v>1.2615664E-2</v>
      </c>
      <c r="K79" s="12">
        <f t="shared" si="1"/>
        <v>57.465454545</v>
      </c>
    </row>
    <row r="80" spans="6:11" x14ac:dyDescent="0.3">
      <c r="F80">
        <v>24.545454544999998</v>
      </c>
      <c r="G80">
        <v>1.0694697E-2</v>
      </c>
      <c r="H80" s="1">
        <v>1.2615701E-2</v>
      </c>
      <c r="K80" s="12">
        <f t="shared" si="1"/>
        <v>53.374545455000003</v>
      </c>
    </row>
    <row r="81" spans="6:11" x14ac:dyDescent="0.3">
      <c r="F81">
        <v>28.636363635999999</v>
      </c>
      <c r="G81">
        <v>1.2468570999999999E-2</v>
      </c>
      <c r="H81" s="1">
        <v>1.2616005E-2</v>
      </c>
      <c r="K81" s="12">
        <f t="shared" si="1"/>
        <v>49.283636364000003</v>
      </c>
    </row>
    <row r="82" spans="6:11" x14ac:dyDescent="0.3">
      <c r="F82">
        <v>32.727272726999999</v>
      </c>
      <c r="G82">
        <v>1.3878431E-2</v>
      </c>
      <c r="H82" s="1">
        <v>1.2618107999999999E-2</v>
      </c>
      <c r="K82" s="12">
        <f t="shared" si="1"/>
        <v>45.192727273000003</v>
      </c>
    </row>
    <row r="83" spans="6:11" x14ac:dyDescent="0.3">
      <c r="F83">
        <v>36.818181817999999</v>
      </c>
      <c r="G83">
        <v>1.3503873E-2</v>
      </c>
      <c r="H83" s="1">
        <v>1.2630321E-2</v>
      </c>
      <c r="K83" s="12">
        <f t="shared" si="1"/>
        <v>41.101818182000002</v>
      </c>
    </row>
    <row r="84" spans="6:11" x14ac:dyDescent="0.3">
      <c r="F84">
        <v>40.909090909</v>
      </c>
      <c r="G84">
        <v>1.4224542E-2</v>
      </c>
      <c r="H84" s="1">
        <v>1.2689742E-2</v>
      </c>
      <c r="K84" s="12">
        <f t="shared" si="1"/>
        <v>37.010909091000002</v>
      </c>
    </row>
    <row r="85" spans="6:11" x14ac:dyDescent="0.3">
      <c r="F85">
        <v>45</v>
      </c>
      <c r="G85">
        <v>1.5961833000000002E-2</v>
      </c>
      <c r="H85" s="1">
        <v>1.2931579E-2</v>
      </c>
      <c r="K85" s="12">
        <f t="shared" si="1"/>
        <v>32.92</v>
      </c>
    </row>
    <row r="86" spans="6:11" x14ac:dyDescent="0.3">
      <c r="F86">
        <v>49.090909091</v>
      </c>
      <c r="G86">
        <v>1.7495896E-2</v>
      </c>
      <c r="H86" s="1">
        <v>1.3752633E-2</v>
      </c>
      <c r="K86" s="12">
        <f t="shared" si="1"/>
        <v>28.829090909000001</v>
      </c>
    </row>
    <row r="87" spans="6:11" x14ac:dyDescent="0.3">
      <c r="F87">
        <v>53.181818182000001</v>
      </c>
      <c r="G87">
        <v>2.1550150000000001E-2</v>
      </c>
      <c r="H87" s="1">
        <v>1.6068988999999999E-2</v>
      </c>
      <c r="K87" s="12">
        <f t="shared" si="1"/>
        <v>24.738181818000001</v>
      </c>
    </row>
    <row r="88" spans="6:11" x14ac:dyDescent="0.3">
      <c r="F88">
        <v>57.272727273000001</v>
      </c>
      <c r="G88">
        <v>2.7434795000000001E-2</v>
      </c>
      <c r="H88" s="1">
        <v>2.1467627999999999E-2</v>
      </c>
      <c r="K88" s="12">
        <f t="shared" si="1"/>
        <v>20.647272727000001</v>
      </c>
    </row>
    <row r="89" spans="6:11" x14ac:dyDescent="0.3">
      <c r="F89">
        <v>61.363636364000001</v>
      </c>
      <c r="G89">
        <v>3.2523837E-2</v>
      </c>
      <c r="H89" s="1">
        <v>3.1765083999999999E-2</v>
      </c>
      <c r="K89" s="12">
        <f t="shared" si="1"/>
        <v>16.556363636</v>
      </c>
    </row>
    <row r="90" spans="6:11" x14ac:dyDescent="0.3">
      <c r="F90">
        <v>65.454545455000002</v>
      </c>
      <c r="G90">
        <v>3.6146059000000001E-2</v>
      </c>
      <c r="H90" s="1">
        <v>4.7576804E-2</v>
      </c>
      <c r="K90" s="12">
        <f t="shared" si="1"/>
        <v>12.465454545</v>
      </c>
    </row>
    <row r="91" spans="6:11" x14ac:dyDescent="0.3">
      <c r="F91">
        <v>69.545454544999998</v>
      </c>
      <c r="G91">
        <v>6.0362853000000001E-2</v>
      </c>
      <c r="H91" s="1">
        <v>6.6483505999999998E-2</v>
      </c>
      <c r="K91" s="12">
        <f t="shared" si="1"/>
        <v>8.3745454550000034</v>
      </c>
    </row>
    <row r="92" spans="6:11" x14ac:dyDescent="0.3">
      <c r="F92">
        <v>73.636363635999999</v>
      </c>
      <c r="G92">
        <v>0.10381280699999999</v>
      </c>
      <c r="H92" s="1">
        <v>8.2662353999999993E-2</v>
      </c>
      <c r="K92" s="12">
        <f t="shared" si="1"/>
        <v>4.283636364000003</v>
      </c>
    </row>
    <row r="93" spans="6:11" x14ac:dyDescent="0.3">
      <c r="F93">
        <v>77.727272726999999</v>
      </c>
      <c r="G93">
        <v>8.0395365999999996E-2</v>
      </c>
      <c r="H93" s="1">
        <v>8.9486164000000007E-2</v>
      </c>
      <c r="K93" s="12">
        <f t="shared" si="1"/>
        <v>0.1927272730000027</v>
      </c>
    </row>
    <row r="94" spans="6:11" x14ac:dyDescent="0.3">
      <c r="F94">
        <v>81.818181817999999</v>
      </c>
      <c r="G94">
        <v>8.0723323999999999E-2</v>
      </c>
      <c r="H94" s="1">
        <v>8.3810066000000003E-2</v>
      </c>
      <c r="K94" s="12">
        <f t="shared" si="1"/>
        <v>3.8981818179999976</v>
      </c>
    </row>
    <row r="95" spans="6:11" x14ac:dyDescent="0.3">
      <c r="F95">
        <v>85.909090909</v>
      </c>
      <c r="G95">
        <v>6.6589569000000001E-2</v>
      </c>
      <c r="H95" s="1">
        <v>6.8263213000000003E-2</v>
      </c>
      <c r="K95" s="12">
        <f t="shared" si="1"/>
        <v>7.989090908999998</v>
      </c>
    </row>
    <row r="96" spans="6:11" s="15" customFormat="1" x14ac:dyDescent="0.3">
      <c r="F96" s="15">
        <v>90</v>
      </c>
      <c r="G96" s="15">
        <v>5.3897682000000002E-2</v>
      </c>
      <c r="H96" s="16">
        <v>4.9323626000000002E-2</v>
      </c>
      <c r="K96" s="12">
        <f t="shared" si="1"/>
        <v>12.079999999999998</v>
      </c>
    </row>
    <row r="97" spans="1:13" x14ac:dyDescent="0.3">
      <c r="A97" s="9">
        <v>20241115</v>
      </c>
      <c r="B97" s="9">
        <v>69.55</v>
      </c>
      <c r="C97" s="9" t="s">
        <v>35</v>
      </c>
      <c r="D97" s="9" t="s">
        <v>36</v>
      </c>
      <c r="E97" s="9" t="s">
        <v>37</v>
      </c>
      <c r="F97">
        <v>-90</v>
      </c>
      <c r="G97">
        <v>1.7438892000000001E-2</v>
      </c>
      <c r="H97" s="1">
        <v>1.0173695999999999E-2</v>
      </c>
      <c r="K97" s="12">
        <f>MIN(ABS(F97-$B$97), ABS(F97-180-$B$97), ABS(F97+180-$B$97))</f>
        <v>20.450000000000003</v>
      </c>
      <c r="L97" s="13" cm="1">
        <f t="array" ref="L97">SQRT(SUMPRODUCT(G97:G141,K97:K141*K97:K141))</f>
        <v>27.157689128774084</v>
      </c>
      <c r="M97" s="14" cm="1">
        <f t="array" ref="M97">SUMPRODUCT(G97:G141,ABS(K97:K141))</f>
        <v>16.481066189940812</v>
      </c>
    </row>
    <row r="98" spans="1:13" x14ac:dyDescent="0.3">
      <c r="A98" t="s">
        <v>38</v>
      </c>
      <c r="F98">
        <v>-85.909090909</v>
      </c>
      <c r="G98">
        <v>1.3687906999999999E-2</v>
      </c>
      <c r="H98" s="1">
        <v>1.0173695999999999E-2</v>
      </c>
      <c r="K98" s="12">
        <f t="shared" ref="K98:K141" si="2">MIN(ABS(F98-$B$97), ABS(F98-180-$B$97), ABS(F98+180-$B$97))</f>
        <v>24.540909091000003</v>
      </c>
    </row>
    <row r="99" spans="1:13" x14ac:dyDescent="0.3">
      <c r="F99">
        <v>-81.818181817999999</v>
      </c>
      <c r="G99">
        <v>1.2289626E-2</v>
      </c>
      <c r="H99" s="1">
        <v>1.0173695999999999E-2</v>
      </c>
      <c r="K99" s="12">
        <f t="shared" si="2"/>
        <v>28.631818182000004</v>
      </c>
    </row>
    <row r="100" spans="1:13" x14ac:dyDescent="0.3">
      <c r="F100">
        <v>-77.727272726999999</v>
      </c>
      <c r="G100">
        <v>1.1041373E-2</v>
      </c>
      <c r="H100" s="1">
        <v>1.0173695999999999E-2</v>
      </c>
      <c r="K100" s="12">
        <f t="shared" si="2"/>
        <v>32.722727273000004</v>
      </c>
    </row>
    <row r="101" spans="1:13" x14ac:dyDescent="0.3">
      <c r="F101">
        <v>-73.636363635999999</v>
      </c>
      <c r="G101">
        <v>9.0343650000000008E-3</v>
      </c>
      <c r="H101" s="1">
        <v>1.0173695999999999E-2</v>
      </c>
      <c r="K101" s="12">
        <f t="shared" si="2"/>
        <v>36.813636364000004</v>
      </c>
    </row>
    <row r="102" spans="1:13" x14ac:dyDescent="0.3">
      <c r="F102">
        <v>-69.545454544999998</v>
      </c>
      <c r="G102">
        <v>8.3356709999999994E-3</v>
      </c>
      <c r="H102" s="1">
        <v>1.0173695999999999E-2</v>
      </c>
      <c r="K102" s="12">
        <f t="shared" si="2"/>
        <v>40.904545455000004</v>
      </c>
    </row>
    <row r="103" spans="1:13" x14ac:dyDescent="0.3">
      <c r="F103">
        <v>-65.454545455000002</v>
      </c>
      <c r="G103">
        <v>7.8175209999999992E-3</v>
      </c>
      <c r="H103" s="1">
        <v>1.0173695999999999E-2</v>
      </c>
      <c r="K103" s="12">
        <f t="shared" si="2"/>
        <v>44.995454545000001</v>
      </c>
    </row>
    <row r="104" spans="1:13" x14ac:dyDescent="0.3">
      <c r="F104">
        <v>-61.363636364000001</v>
      </c>
      <c r="G104">
        <v>6.7809879999999999E-3</v>
      </c>
      <c r="H104" s="1">
        <v>1.0173695999999999E-2</v>
      </c>
      <c r="K104" s="12">
        <f t="shared" si="2"/>
        <v>49.086363636000002</v>
      </c>
    </row>
    <row r="105" spans="1:13" x14ac:dyDescent="0.3">
      <c r="F105">
        <v>-57.272727273000001</v>
      </c>
      <c r="G105">
        <v>6.1253510000000002E-3</v>
      </c>
      <c r="H105" s="1">
        <v>1.0173695999999999E-2</v>
      </c>
      <c r="K105" s="12">
        <f t="shared" si="2"/>
        <v>53.177272727000002</v>
      </c>
    </row>
    <row r="106" spans="1:13" x14ac:dyDescent="0.3">
      <c r="F106">
        <v>-53.181818182000001</v>
      </c>
      <c r="G106">
        <v>5.6469420000000003E-3</v>
      </c>
      <c r="H106" s="1">
        <v>1.0173695999999999E-2</v>
      </c>
      <c r="K106" s="12">
        <f t="shared" si="2"/>
        <v>57.268181818000002</v>
      </c>
    </row>
    <row r="107" spans="1:13" x14ac:dyDescent="0.3">
      <c r="F107">
        <v>-49.090909091</v>
      </c>
      <c r="G107">
        <v>5.4551979999999996E-3</v>
      </c>
      <c r="H107" s="1">
        <v>1.0173695999999999E-2</v>
      </c>
      <c r="K107" s="12">
        <f t="shared" si="2"/>
        <v>61.359090908999988</v>
      </c>
    </row>
    <row r="108" spans="1:13" x14ac:dyDescent="0.3">
      <c r="F108">
        <v>-45</v>
      </c>
      <c r="G108">
        <v>5.4381289999999999E-3</v>
      </c>
      <c r="H108" s="1">
        <v>1.0173695999999999E-2</v>
      </c>
      <c r="K108" s="12">
        <f t="shared" si="2"/>
        <v>65.45</v>
      </c>
    </row>
    <row r="109" spans="1:13" x14ac:dyDescent="0.3">
      <c r="F109">
        <v>-40.909090909</v>
      </c>
      <c r="G109">
        <v>5.3194740000000003E-3</v>
      </c>
      <c r="H109" s="1">
        <v>1.0173695999999999E-2</v>
      </c>
      <c r="K109" s="12">
        <f t="shared" si="2"/>
        <v>69.540909091000017</v>
      </c>
    </row>
    <row r="110" spans="1:13" x14ac:dyDescent="0.3">
      <c r="F110">
        <v>-36.818181817999999</v>
      </c>
      <c r="G110">
        <v>4.9624910000000003E-3</v>
      </c>
      <c r="H110" s="1">
        <v>1.0173695999999999E-2</v>
      </c>
      <c r="K110" s="12">
        <f t="shared" si="2"/>
        <v>73.631818182000004</v>
      </c>
    </row>
    <row r="111" spans="1:13" x14ac:dyDescent="0.3">
      <c r="F111">
        <v>-32.727272726999999</v>
      </c>
      <c r="G111">
        <v>4.8341240000000004E-3</v>
      </c>
      <c r="H111" s="1">
        <v>1.0173695999999999E-2</v>
      </c>
      <c r="K111" s="12">
        <f t="shared" si="2"/>
        <v>77.72272727299999</v>
      </c>
    </row>
    <row r="112" spans="1:13" x14ac:dyDescent="0.3">
      <c r="F112">
        <v>-28.636363635999999</v>
      </c>
      <c r="G112">
        <v>4.9706749999999999E-3</v>
      </c>
      <c r="H112" s="1">
        <v>1.0173695999999999E-2</v>
      </c>
      <c r="K112" s="12">
        <f t="shared" si="2"/>
        <v>81.813636364000004</v>
      </c>
    </row>
    <row r="113" spans="6:11" x14ac:dyDescent="0.3">
      <c r="F113">
        <v>-24.545454544999998</v>
      </c>
      <c r="G113">
        <v>4.7105619999999997E-3</v>
      </c>
      <c r="H113" s="1">
        <v>1.0173695999999999E-2</v>
      </c>
      <c r="K113" s="12">
        <f t="shared" si="2"/>
        <v>85.904545455000019</v>
      </c>
    </row>
    <row r="114" spans="6:11" x14ac:dyDescent="0.3">
      <c r="F114">
        <v>-20.454545455000002</v>
      </c>
      <c r="G114">
        <v>4.7987159999999997E-3</v>
      </c>
      <c r="H114" s="1">
        <v>1.0173695999999999E-2</v>
      </c>
      <c r="K114" s="12">
        <f t="shared" si="2"/>
        <v>89.995454544999987</v>
      </c>
    </row>
    <row r="115" spans="6:11" x14ac:dyDescent="0.3">
      <c r="F115">
        <v>-16.363636364000001</v>
      </c>
      <c r="G115">
        <v>4.8931319999999997E-3</v>
      </c>
      <c r="H115" s="1">
        <v>1.0173695999999999E-2</v>
      </c>
      <c r="K115" s="12">
        <f t="shared" si="2"/>
        <v>85.913636363999998</v>
      </c>
    </row>
    <row r="116" spans="6:11" x14ac:dyDescent="0.3">
      <c r="F116">
        <v>-12.272727272999999</v>
      </c>
      <c r="G116">
        <v>4.6519830000000002E-3</v>
      </c>
      <c r="H116" s="1">
        <v>1.0173695999999999E-2</v>
      </c>
      <c r="K116" s="12">
        <f t="shared" si="2"/>
        <v>81.822727272999998</v>
      </c>
    </row>
    <row r="117" spans="6:11" x14ac:dyDescent="0.3">
      <c r="F117">
        <v>-8.1818181820000007</v>
      </c>
      <c r="G117">
        <v>5.5742250000000004E-3</v>
      </c>
      <c r="H117" s="1">
        <v>1.0173695999999999E-2</v>
      </c>
      <c r="K117" s="12">
        <f t="shared" si="2"/>
        <v>77.731818181999998</v>
      </c>
    </row>
    <row r="118" spans="6:11" x14ac:dyDescent="0.3">
      <c r="F118">
        <v>-4.0909090910000003</v>
      </c>
      <c r="G118">
        <v>5.2257379999999997E-3</v>
      </c>
      <c r="H118" s="1">
        <v>1.0173695999999999E-2</v>
      </c>
      <c r="K118" s="12">
        <f t="shared" si="2"/>
        <v>73.640909090999997</v>
      </c>
    </row>
    <row r="119" spans="6:11" x14ac:dyDescent="0.3">
      <c r="F119">
        <v>0</v>
      </c>
      <c r="G119">
        <v>5.6336839999999999E-3</v>
      </c>
      <c r="H119" s="1">
        <v>1.0173695999999999E-2</v>
      </c>
      <c r="K119" s="12">
        <f t="shared" si="2"/>
        <v>69.55</v>
      </c>
    </row>
    <row r="120" spans="6:11" x14ac:dyDescent="0.3">
      <c r="F120">
        <v>4.0909090910000003</v>
      </c>
      <c r="G120">
        <v>5.3214430000000004E-3</v>
      </c>
      <c r="H120" s="1">
        <v>1.0173695999999999E-2</v>
      </c>
      <c r="K120" s="12">
        <f t="shared" si="2"/>
        <v>65.459090908999997</v>
      </c>
    </row>
    <row r="121" spans="6:11" x14ac:dyDescent="0.3">
      <c r="F121">
        <v>8.1818181820000007</v>
      </c>
      <c r="G121">
        <v>5.3510800000000002E-3</v>
      </c>
      <c r="H121" s="1">
        <v>1.0173695999999999E-2</v>
      </c>
      <c r="K121" s="12">
        <f t="shared" si="2"/>
        <v>61.368181817999996</v>
      </c>
    </row>
    <row r="122" spans="6:11" x14ac:dyDescent="0.3">
      <c r="F122">
        <v>12.272727272999999</v>
      </c>
      <c r="G122">
        <v>6.0450199999999999E-3</v>
      </c>
      <c r="H122" s="1">
        <v>1.0173695999999999E-2</v>
      </c>
      <c r="K122" s="12">
        <f t="shared" si="2"/>
        <v>57.277272726999996</v>
      </c>
    </row>
    <row r="123" spans="6:11" x14ac:dyDescent="0.3">
      <c r="F123">
        <v>16.363636364000001</v>
      </c>
      <c r="G123">
        <v>6.0909880000000003E-3</v>
      </c>
      <c r="H123" s="1">
        <v>1.0173695999999999E-2</v>
      </c>
      <c r="K123" s="12">
        <f t="shared" si="2"/>
        <v>53.186363635999996</v>
      </c>
    </row>
    <row r="124" spans="6:11" x14ac:dyDescent="0.3">
      <c r="F124">
        <v>20.454545455000002</v>
      </c>
      <c r="G124">
        <v>6.2753150000000001E-3</v>
      </c>
      <c r="H124" s="1">
        <v>1.0173695999999999E-2</v>
      </c>
      <c r="K124" s="12">
        <f t="shared" si="2"/>
        <v>49.095454544999996</v>
      </c>
    </row>
    <row r="125" spans="6:11" x14ac:dyDescent="0.3">
      <c r="F125">
        <v>24.545454544999998</v>
      </c>
      <c r="G125">
        <v>7.847616E-3</v>
      </c>
      <c r="H125" s="1">
        <v>1.0173695999999999E-2</v>
      </c>
      <c r="K125" s="12">
        <f t="shared" si="2"/>
        <v>45.004545454999999</v>
      </c>
    </row>
    <row r="126" spans="6:11" x14ac:dyDescent="0.3">
      <c r="F126">
        <v>28.636363635999999</v>
      </c>
      <c r="G126">
        <v>8.0222720000000004E-3</v>
      </c>
      <c r="H126" s="1">
        <v>1.0173695999999999E-2</v>
      </c>
      <c r="K126" s="12">
        <f t="shared" si="2"/>
        <v>40.913636363999998</v>
      </c>
    </row>
    <row r="127" spans="6:11" x14ac:dyDescent="0.3">
      <c r="F127">
        <v>32.727272726999999</v>
      </c>
      <c r="G127">
        <v>9.0483089999999992E-3</v>
      </c>
      <c r="H127" s="1">
        <v>1.0173695999999999E-2</v>
      </c>
      <c r="K127" s="12">
        <f t="shared" si="2"/>
        <v>36.822727272999998</v>
      </c>
    </row>
    <row r="128" spans="6:11" x14ac:dyDescent="0.3">
      <c r="F128">
        <v>36.818181817999999</v>
      </c>
      <c r="G128">
        <v>1.0754115999999999E-2</v>
      </c>
      <c r="H128" s="1">
        <v>1.0173695999999999E-2</v>
      </c>
      <c r="K128" s="12">
        <f t="shared" si="2"/>
        <v>32.731818181999998</v>
      </c>
    </row>
    <row r="129" spans="1:13" x14ac:dyDescent="0.3">
      <c r="F129">
        <v>40.909090909</v>
      </c>
      <c r="G129">
        <v>1.0892258E-2</v>
      </c>
      <c r="H129" s="1">
        <v>1.0173695999999999E-2</v>
      </c>
      <c r="K129" s="12">
        <f t="shared" si="2"/>
        <v>28.640909090999997</v>
      </c>
    </row>
    <row r="130" spans="1:13" x14ac:dyDescent="0.3">
      <c r="F130">
        <v>45</v>
      </c>
      <c r="G130">
        <v>1.5395842E-2</v>
      </c>
      <c r="H130" s="1">
        <v>1.0173708E-2</v>
      </c>
      <c r="K130" s="12">
        <f t="shared" si="2"/>
        <v>24.549999999999997</v>
      </c>
    </row>
    <row r="131" spans="1:13" x14ac:dyDescent="0.3">
      <c r="F131">
        <v>49.090909091</v>
      </c>
      <c r="G131">
        <v>1.8610049E-2</v>
      </c>
      <c r="H131" s="1">
        <v>1.0175688E-2</v>
      </c>
      <c r="K131" s="12">
        <f t="shared" si="2"/>
        <v>20.459090908999997</v>
      </c>
    </row>
    <row r="132" spans="1:13" x14ac:dyDescent="0.3">
      <c r="F132">
        <v>53.181818182000001</v>
      </c>
      <c r="G132">
        <v>2.9343048E-2</v>
      </c>
      <c r="H132" s="1">
        <v>1.0301156000000001E-2</v>
      </c>
      <c r="K132" s="12">
        <f t="shared" si="2"/>
        <v>16.368181817999996</v>
      </c>
    </row>
    <row r="133" spans="1:13" x14ac:dyDescent="0.3">
      <c r="F133">
        <v>57.272727273000001</v>
      </c>
      <c r="G133">
        <v>3.4107499999999999E-2</v>
      </c>
      <c r="H133" s="1">
        <v>1.3411350000000001E-2</v>
      </c>
      <c r="K133" s="12">
        <f t="shared" si="2"/>
        <v>12.277272726999996</v>
      </c>
    </row>
    <row r="134" spans="1:13" x14ac:dyDescent="0.3">
      <c r="F134">
        <v>61.363636364000001</v>
      </c>
      <c r="G134">
        <v>4.9775778E-2</v>
      </c>
      <c r="H134" s="1">
        <v>4.2826754000000002E-2</v>
      </c>
      <c r="K134" s="12">
        <f t="shared" si="2"/>
        <v>8.1863636359999958</v>
      </c>
    </row>
    <row r="135" spans="1:13" x14ac:dyDescent="0.3">
      <c r="F135">
        <v>65.454545455000002</v>
      </c>
      <c r="G135">
        <v>0.12952847200000001</v>
      </c>
      <c r="H135" s="1">
        <v>0.140927681</v>
      </c>
      <c r="K135" s="12">
        <f t="shared" si="2"/>
        <v>4.0954545449999955</v>
      </c>
    </row>
    <row r="136" spans="1:13" x14ac:dyDescent="0.3">
      <c r="F136">
        <v>69.545454544999998</v>
      </c>
      <c r="G136">
        <v>0.22928077999999999</v>
      </c>
      <c r="H136" s="1">
        <v>0.21805894200000001</v>
      </c>
      <c r="K136" s="12">
        <f t="shared" si="2"/>
        <v>4.5454549999988103E-3</v>
      </c>
    </row>
    <row r="137" spans="1:13" x14ac:dyDescent="0.3">
      <c r="F137">
        <v>73.636363635999999</v>
      </c>
      <c r="G137">
        <v>0.130862115</v>
      </c>
      <c r="H137" s="1">
        <v>0.14140276900000001</v>
      </c>
      <c r="K137" s="12">
        <f t="shared" si="2"/>
        <v>4.0863636360000015</v>
      </c>
    </row>
    <row r="138" spans="1:13" x14ac:dyDescent="0.3">
      <c r="F138">
        <v>77.727272726999999</v>
      </c>
      <c r="G138">
        <v>4.8471199999999999E-2</v>
      </c>
      <c r="H138" s="1">
        <v>4.3064471E-2</v>
      </c>
      <c r="K138" s="12">
        <f t="shared" si="2"/>
        <v>8.1772727270000019</v>
      </c>
    </row>
    <row r="139" spans="1:13" x14ac:dyDescent="0.3">
      <c r="F139">
        <v>81.818181817999999</v>
      </c>
      <c r="G139">
        <v>3.3292509999999997E-2</v>
      </c>
      <c r="H139" s="1">
        <v>1.344677E-2</v>
      </c>
      <c r="K139" s="12">
        <f t="shared" si="2"/>
        <v>12.268181818000002</v>
      </c>
    </row>
    <row r="140" spans="1:13" x14ac:dyDescent="0.3">
      <c r="F140">
        <v>85.909090909</v>
      </c>
      <c r="G140">
        <v>2.357863E-2</v>
      </c>
      <c r="H140" s="1">
        <v>1.0303019E-2</v>
      </c>
      <c r="K140" s="12">
        <f t="shared" si="2"/>
        <v>16.359090909000003</v>
      </c>
    </row>
    <row r="141" spans="1:13" s="15" customFormat="1" x14ac:dyDescent="0.3">
      <c r="F141" s="15">
        <v>90</v>
      </c>
      <c r="G141" s="15">
        <v>1.7438892000000001E-2</v>
      </c>
      <c r="H141" s="16">
        <v>1.0175725E-2</v>
      </c>
      <c r="K141" s="12">
        <f t="shared" si="2"/>
        <v>20.450000000000003</v>
      </c>
    </row>
    <row r="142" spans="1:13" x14ac:dyDescent="0.3">
      <c r="A142" s="9"/>
      <c r="B142" s="9"/>
      <c r="C142" s="9"/>
      <c r="D142" s="9"/>
      <c r="E142" s="9"/>
      <c r="K142" s="12"/>
      <c r="L142" s="13"/>
      <c r="M142" s="14"/>
    </row>
    <row r="143" spans="1:13" x14ac:dyDescent="0.3">
      <c r="K143" s="12"/>
    </row>
    <row r="144" spans="1:13" x14ac:dyDescent="0.3">
      <c r="K144" s="12"/>
    </row>
    <row r="145" spans="11:11" x14ac:dyDescent="0.3">
      <c r="K145" s="12"/>
    </row>
    <row r="146" spans="11:11" x14ac:dyDescent="0.3">
      <c r="K146" s="12"/>
    </row>
    <row r="147" spans="11:11" x14ac:dyDescent="0.3">
      <c r="K147" s="12"/>
    </row>
    <row r="148" spans="11:11" x14ac:dyDescent="0.3">
      <c r="K148" s="12"/>
    </row>
    <row r="149" spans="11:11" x14ac:dyDescent="0.3">
      <c r="K149" s="12"/>
    </row>
    <row r="150" spans="11:11" x14ac:dyDescent="0.3">
      <c r="K150" s="12"/>
    </row>
    <row r="151" spans="11:11" x14ac:dyDescent="0.3">
      <c r="K151" s="12"/>
    </row>
    <row r="152" spans="11:11" x14ac:dyDescent="0.3">
      <c r="K152" s="12"/>
    </row>
    <row r="153" spans="11:11" x14ac:dyDescent="0.3">
      <c r="K153" s="12"/>
    </row>
    <row r="154" spans="11:11" x14ac:dyDescent="0.3">
      <c r="K154" s="12"/>
    </row>
    <row r="155" spans="11:11" x14ac:dyDescent="0.3">
      <c r="K155" s="12"/>
    </row>
    <row r="156" spans="11:11" x14ac:dyDescent="0.3">
      <c r="K156" s="12"/>
    </row>
    <row r="157" spans="11:11" x14ac:dyDescent="0.3">
      <c r="K157" s="12"/>
    </row>
    <row r="158" spans="11:11" x14ac:dyDescent="0.3">
      <c r="K158" s="12"/>
    </row>
    <row r="159" spans="11:11" x14ac:dyDescent="0.3">
      <c r="K159" s="12"/>
    </row>
    <row r="160" spans="11:11" x14ac:dyDescent="0.3">
      <c r="K160" s="12"/>
    </row>
    <row r="161" spans="11:11" x14ac:dyDescent="0.3">
      <c r="K161" s="12"/>
    </row>
    <row r="162" spans="11:11" x14ac:dyDescent="0.3">
      <c r="K162" s="12"/>
    </row>
    <row r="163" spans="11:11" x14ac:dyDescent="0.3">
      <c r="K163" s="12"/>
    </row>
    <row r="164" spans="11:11" x14ac:dyDescent="0.3">
      <c r="K164" s="12"/>
    </row>
    <row r="165" spans="11:11" x14ac:dyDescent="0.3">
      <c r="K165" s="12"/>
    </row>
    <row r="166" spans="11:11" x14ac:dyDescent="0.3">
      <c r="K166" s="12"/>
    </row>
    <row r="167" spans="11:11" x14ac:dyDescent="0.3">
      <c r="K167" s="12"/>
    </row>
    <row r="168" spans="11:11" x14ac:dyDescent="0.3">
      <c r="K168" s="12"/>
    </row>
    <row r="169" spans="11:11" x14ac:dyDescent="0.3">
      <c r="K169" s="12"/>
    </row>
    <row r="170" spans="11:11" x14ac:dyDescent="0.3">
      <c r="K170" s="12"/>
    </row>
    <row r="171" spans="11:11" x14ac:dyDescent="0.3">
      <c r="K171" s="12"/>
    </row>
    <row r="172" spans="11:11" x14ac:dyDescent="0.3">
      <c r="K172" s="12"/>
    </row>
    <row r="173" spans="11:11" x14ac:dyDescent="0.3">
      <c r="K173" s="12"/>
    </row>
    <row r="174" spans="11:11" x14ac:dyDescent="0.3">
      <c r="K174" s="12"/>
    </row>
    <row r="175" spans="11:11" x14ac:dyDescent="0.3">
      <c r="K175" s="12"/>
    </row>
    <row r="176" spans="11:11" x14ac:dyDescent="0.3">
      <c r="K176" s="12"/>
    </row>
    <row r="177" spans="1:13" x14ac:dyDescent="0.3">
      <c r="K177" s="12"/>
    </row>
    <row r="178" spans="1:13" x14ac:dyDescent="0.3">
      <c r="K178" s="12"/>
    </row>
    <row r="179" spans="1:13" x14ac:dyDescent="0.3">
      <c r="K179" s="12"/>
    </row>
    <row r="180" spans="1:13" x14ac:dyDescent="0.3">
      <c r="K180" s="12"/>
    </row>
    <row r="181" spans="1:13" x14ac:dyDescent="0.3">
      <c r="K181" s="12"/>
    </row>
    <row r="182" spans="1:13" x14ac:dyDescent="0.3">
      <c r="K182" s="12"/>
    </row>
    <row r="183" spans="1:13" x14ac:dyDescent="0.3">
      <c r="K183" s="12"/>
    </row>
    <row r="184" spans="1:13" x14ac:dyDescent="0.3">
      <c r="K184" s="12"/>
    </row>
    <row r="185" spans="1:13" x14ac:dyDescent="0.3">
      <c r="K185" s="12"/>
    </row>
    <row r="186" spans="1:13" s="15" customFormat="1" x14ac:dyDescent="0.3">
      <c r="H186" s="16"/>
      <c r="K186" s="12"/>
    </row>
    <row r="187" spans="1:13" x14ac:dyDescent="0.3">
      <c r="A187" s="9"/>
      <c r="B187" s="9"/>
      <c r="C187" s="9"/>
      <c r="D187" s="9"/>
      <c r="E187" s="9"/>
      <c r="K187" s="12"/>
      <c r="L187" s="13"/>
      <c r="M187" s="14"/>
    </row>
    <row r="188" spans="1:13" x14ac:dyDescent="0.3">
      <c r="K188" s="12"/>
    </row>
    <row r="189" spans="1:13" x14ac:dyDescent="0.3">
      <c r="K189" s="12"/>
    </row>
    <row r="190" spans="1:13" x14ac:dyDescent="0.3">
      <c r="K190" s="12"/>
    </row>
    <row r="191" spans="1:13" x14ac:dyDescent="0.3">
      <c r="K191" s="12"/>
    </row>
    <row r="192" spans="1:13" x14ac:dyDescent="0.3">
      <c r="K192" s="12"/>
    </row>
    <row r="193" spans="11:11" x14ac:dyDescent="0.3">
      <c r="K193" s="12"/>
    </row>
    <row r="194" spans="11:11" x14ac:dyDescent="0.3">
      <c r="K194" s="12"/>
    </row>
    <row r="195" spans="11:11" x14ac:dyDescent="0.3">
      <c r="K195" s="12"/>
    </row>
    <row r="196" spans="11:11" x14ac:dyDescent="0.3">
      <c r="K196" s="12"/>
    </row>
    <row r="197" spans="11:11" x14ac:dyDescent="0.3">
      <c r="K197" s="12"/>
    </row>
    <row r="198" spans="11:11" x14ac:dyDescent="0.3">
      <c r="K198" s="12"/>
    </row>
    <row r="199" spans="11:11" x14ac:dyDescent="0.3">
      <c r="K199" s="12"/>
    </row>
    <row r="200" spans="11:11" x14ac:dyDescent="0.3">
      <c r="K200" s="12"/>
    </row>
    <row r="201" spans="11:11" x14ac:dyDescent="0.3">
      <c r="K201" s="12"/>
    </row>
    <row r="202" spans="11:11" x14ac:dyDescent="0.3">
      <c r="K202" s="12"/>
    </row>
    <row r="203" spans="11:11" x14ac:dyDescent="0.3">
      <c r="K203" s="12"/>
    </row>
    <row r="204" spans="11:11" x14ac:dyDescent="0.3">
      <c r="K204" s="12"/>
    </row>
    <row r="205" spans="11:11" x14ac:dyDescent="0.3">
      <c r="K205" s="12"/>
    </row>
    <row r="206" spans="11:11" x14ac:dyDescent="0.3">
      <c r="K206" s="12"/>
    </row>
    <row r="207" spans="11:11" x14ac:dyDescent="0.3">
      <c r="K207" s="12"/>
    </row>
    <row r="208" spans="11:11" x14ac:dyDescent="0.3">
      <c r="K208" s="12"/>
    </row>
    <row r="209" spans="11:11" x14ac:dyDescent="0.3">
      <c r="K209" s="12"/>
    </row>
    <row r="210" spans="11:11" x14ac:dyDescent="0.3">
      <c r="K210" s="12"/>
    </row>
    <row r="211" spans="11:11" x14ac:dyDescent="0.3">
      <c r="K211" s="12"/>
    </row>
    <row r="212" spans="11:11" x14ac:dyDescent="0.3">
      <c r="K212" s="12"/>
    </row>
    <row r="213" spans="11:11" x14ac:dyDescent="0.3">
      <c r="K213" s="12"/>
    </row>
    <row r="214" spans="11:11" x14ac:dyDescent="0.3">
      <c r="K214" s="12"/>
    </row>
    <row r="215" spans="11:11" x14ac:dyDescent="0.3">
      <c r="K215" s="12"/>
    </row>
    <row r="216" spans="11:11" x14ac:dyDescent="0.3">
      <c r="K216" s="12"/>
    </row>
    <row r="217" spans="11:11" x14ac:dyDescent="0.3">
      <c r="K217" s="12"/>
    </row>
    <row r="218" spans="11:11" x14ac:dyDescent="0.3">
      <c r="K218" s="12"/>
    </row>
    <row r="219" spans="11:11" x14ac:dyDescent="0.3">
      <c r="K219" s="12"/>
    </row>
    <row r="220" spans="11:11" x14ac:dyDescent="0.3">
      <c r="K220" s="12"/>
    </row>
    <row r="221" spans="11:11" x14ac:dyDescent="0.3">
      <c r="K221" s="12"/>
    </row>
    <row r="222" spans="11:11" x14ac:dyDescent="0.3">
      <c r="K222" s="12"/>
    </row>
    <row r="223" spans="11:11" x14ac:dyDescent="0.3">
      <c r="K223" s="12"/>
    </row>
    <row r="224" spans="11:11" x14ac:dyDescent="0.3">
      <c r="K224" s="12"/>
    </row>
    <row r="225" spans="1:13" x14ac:dyDescent="0.3">
      <c r="K225" s="12"/>
    </row>
    <row r="226" spans="1:13" x14ac:dyDescent="0.3">
      <c r="K226" s="12"/>
    </row>
    <row r="227" spans="1:13" x14ac:dyDescent="0.3">
      <c r="K227" s="12"/>
    </row>
    <row r="228" spans="1:13" x14ac:dyDescent="0.3">
      <c r="K228" s="12"/>
    </row>
    <row r="229" spans="1:13" x14ac:dyDescent="0.3">
      <c r="K229" s="12"/>
    </row>
    <row r="230" spans="1:13" x14ac:dyDescent="0.3">
      <c r="K230" s="12"/>
    </row>
    <row r="231" spans="1:13" s="15" customFormat="1" x14ac:dyDescent="0.3">
      <c r="H231" s="16"/>
      <c r="K231" s="12"/>
    </row>
    <row r="232" spans="1:13" x14ac:dyDescent="0.3">
      <c r="A232" s="9"/>
      <c r="B232" s="9"/>
      <c r="C232" s="9"/>
      <c r="D232" s="9"/>
      <c r="E232" s="9"/>
      <c r="K232" s="12"/>
      <c r="L232" s="13"/>
      <c r="M232" s="14"/>
    </row>
    <row r="233" spans="1:13" x14ac:dyDescent="0.3">
      <c r="K233" s="12"/>
    </row>
    <row r="234" spans="1:13" x14ac:dyDescent="0.3">
      <c r="K234" s="12"/>
    </row>
    <row r="235" spans="1:13" x14ac:dyDescent="0.3">
      <c r="K235" s="12"/>
    </row>
    <row r="236" spans="1:13" x14ac:dyDescent="0.3">
      <c r="K236" s="12"/>
    </row>
    <row r="237" spans="1:13" x14ac:dyDescent="0.3">
      <c r="K237" s="12"/>
    </row>
    <row r="238" spans="1:13" x14ac:dyDescent="0.3">
      <c r="K238" s="12"/>
    </row>
    <row r="239" spans="1:13" x14ac:dyDescent="0.3">
      <c r="K239" s="12"/>
    </row>
    <row r="240" spans="1:13" x14ac:dyDescent="0.3">
      <c r="K240" s="12"/>
    </row>
    <row r="241" spans="11:11" x14ac:dyDescent="0.3">
      <c r="K241" s="12"/>
    </row>
    <row r="242" spans="11:11" x14ac:dyDescent="0.3">
      <c r="K242" s="12"/>
    </row>
    <row r="243" spans="11:11" x14ac:dyDescent="0.3">
      <c r="K243" s="12"/>
    </row>
    <row r="244" spans="11:11" x14ac:dyDescent="0.3">
      <c r="K244" s="12"/>
    </row>
    <row r="245" spans="11:11" x14ac:dyDescent="0.3">
      <c r="K245" s="12"/>
    </row>
    <row r="246" spans="11:11" x14ac:dyDescent="0.3">
      <c r="K246" s="12"/>
    </row>
    <row r="247" spans="11:11" x14ac:dyDescent="0.3">
      <c r="K247" s="12"/>
    </row>
    <row r="248" spans="11:11" x14ac:dyDescent="0.3">
      <c r="K248" s="12"/>
    </row>
    <row r="249" spans="11:11" x14ac:dyDescent="0.3">
      <c r="K249" s="12"/>
    </row>
    <row r="250" spans="11:11" x14ac:dyDescent="0.3">
      <c r="K250" s="12"/>
    </row>
    <row r="251" spans="11:11" x14ac:dyDescent="0.3">
      <c r="K251" s="12"/>
    </row>
    <row r="252" spans="11:11" x14ac:dyDescent="0.3">
      <c r="K252" s="12"/>
    </row>
    <row r="253" spans="11:11" x14ac:dyDescent="0.3">
      <c r="K253" s="12"/>
    </row>
    <row r="254" spans="11:11" x14ac:dyDescent="0.3">
      <c r="K254" s="12"/>
    </row>
    <row r="255" spans="11:11" x14ac:dyDescent="0.3">
      <c r="K255" s="12"/>
    </row>
    <row r="256" spans="11:11" x14ac:dyDescent="0.3">
      <c r="K256" s="12"/>
    </row>
    <row r="257" spans="11:11" x14ac:dyDescent="0.3">
      <c r="K257" s="12"/>
    </row>
    <row r="258" spans="11:11" x14ac:dyDescent="0.3">
      <c r="K258" s="12"/>
    </row>
    <row r="259" spans="11:11" x14ac:dyDescent="0.3">
      <c r="K259" s="12"/>
    </row>
    <row r="260" spans="11:11" x14ac:dyDescent="0.3">
      <c r="K260" s="12"/>
    </row>
    <row r="261" spans="11:11" x14ac:dyDescent="0.3">
      <c r="K261" s="12"/>
    </row>
    <row r="262" spans="11:11" x14ac:dyDescent="0.3">
      <c r="K262" s="12"/>
    </row>
    <row r="263" spans="11:11" x14ac:dyDescent="0.3">
      <c r="K263" s="12"/>
    </row>
    <row r="264" spans="11:11" x14ac:dyDescent="0.3">
      <c r="K264" s="12"/>
    </row>
    <row r="265" spans="11:11" x14ac:dyDescent="0.3">
      <c r="K265" s="12"/>
    </row>
    <row r="266" spans="11:11" x14ac:dyDescent="0.3">
      <c r="K266" s="12"/>
    </row>
    <row r="267" spans="11:11" x14ac:dyDescent="0.3">
      <c r="K267" s="12"/>
    </row>
    <row r="268" spans="11:11" x14ac:dyDescent="0.3">
      <c r="K268" s="12"/>
    </row>
    <row r="269" spans="11:11" x14ac:dyDescent="0.3">
      <c r="K269" s="12"/>
    </row>
    <row r="270" spans="11:11" x14ac:dyDescent="0.3">
      <c r="K270" s="12"/>
    </row>
    <row r="271" spans="11:11" x14ac:dyDescent="0.3">
      <c r="K271" s="12"/>
    </row>
    <row r="272" spans="11:11" x14ac:dyDescent="0.3">
      <c r="K272" s="12"/>
    </row>
    <row r="273" spans="1:13" x14ac:dyDescent="0.3">
      <c r="K273" s="12"/>
    </row>
    <row r="274" spans="1:13" x14ac:dyDescent="0.3">
      <c r="K274" s="12"/>
    </row>
    <row r="275" spans="1:13" x14ac:dyDescent="0.3">
      <c r="K275" s="12"/>
    </row>
    <row r="276" spans="1:13" s="15" customFormat="1" x14ac:dyDescent="0.3">
      <c r="H276" s="16"/>
      <c r="K276" s="12"/>
    </row>
    <row r="277" spans="1:13" x14ac:dyDescent="0.3">
      <c r="A277" s="9"/>
      <c r="B277" s="9"/>
      <c r="C277" s="9"/>
      <c r="D277" s="9"/>
      <c r="E277" s="9"/>
      <c r="K277" s="12"/>
      <c r="L277" s="13"/>
      <c r="M277" s="14"/>
    </row>
    <row r="278" spans="1:13" x14ac:dyDescent="0.3">
      <c r="K278" s="12"/>
    </row>
    <row r="279" spans="1:13" x14ac:dyDescent="0.3">
      <c r="K279" s="12"/>
    </row>
    <row r="280" spans="1:13" x14ac:dyDescent="0.3">
      <c r="K280" s="12"/>
    </row>
    <row r="281" spans="1:13" x14ac:dyDescent="0.3">
      <c r="K281" s="12"/>
    </row>
    <row r="282" spans="1:13" x14ac:dyDescent="0.3">
      <c r="K282" s="12"/>
    </row>
    <row r="283" spans="1:13" x14ac:dyDescent="0.3">
      <c r="K283" s="12"/>
    </row>
    <row r="284" spans="1:13" x14ac:dyDescent="0.3">
      <c r="K284" s="12"/>
    </row>
    <row r="285" spans="1:13" x14ac:dyDescent="0.3">
      <c r="K285" s="12"/>
    </row>
    <row r="286" spans="1:13" x14ac:dyDescent="0.3">
      <c r="K286" s="12"/>
    </row>
    <row r="287" spans="1:13" x14ac:dyDescent="0.3">
      <c r="K287" s="12"/>
    </row>
    <row r="288" spans="1:13" x14ac:dyDescent="0.3">
      <c r="K288" s="12"/>
    </row>
    <row r="289" spans="11:11" x14ac:dyDescent="0.3">
      <c r="K289" s="12"/>
    </row>
    <row r="290" spans="11:11" x14ac:dyDescent="0.3">
      <c r="K290" s="12"/>
    </row>
    <row r="291" spans="11:11" x14ac:dyDescent="0.3">
      <c r="K291" s="12"/>
    </row>
    <row r="292" spans="11:11" x14ac:dyDescent="0.3">
      <c r="K292" s="12"/>
    </row>
    <row r="293" spans="11:11" x14ac:dyDescent="0.3">
      <c r="K293" s="12"/>
    </row>
    <row r="294" spans="11:11" x14ac:dyDescent="0.3">
      <c r="K294" s="12"/>
    </row>
    <row r="295" spans="11:11" x14ac:dyDescent="0.3">
      <c r="K295" s="12"/>
    </row>
    <row r="296" spans="11:11" x14ac:dyDescent="0.3">
      <c r="K296" s="12"/>
    </row>
    <row r="297" spans="11:11" x14ac:dyDescent="0.3">
      <c r="K297" s="12"/>
    </row>
    <row r="298" spans="11:11" x14ac:dyDescent="0.3">
      <c r="K298" s="12"/>
    </row>
    <row r="299" spans="11:11" x14ac:dyDescent="0.3">
      <c r="K299" s="12"/>
    </row>
    <row r="300" spans="11:11" x14ac:dyDescent="0.3">
      <c r="K300" s="12"/>
    </row>
    <row r="301" spans="11:11" x14ac:dyDescent="0.3">
      <c r="K301" s="12"/>
    </row>
    <row r="302" spans="11:11" x14ac:dyDescent="0.3">
      <c r="K302" s="12"/>
    </row>
    <row r="303" spans="11:11" x14ac:dyDescent="0.3">
      <c r="K303" s="12"/>
    </row>
    <row r="304" spans="11:11" x14ac:dyDescent="0.3">
      <c r="K304" s="12"/>
    </row>
    <row r="305" spans="11:11" x14ac:dyDescent="0.3">
      <c r="K305" s="12"/>
    </row>
    <row r="306" spans="11:11" x14ac:dyDescent="0.3">
      <c r="K306" s="12"/>
    </row>
    <row r="307" spans="11:11" x14ac:dyDescent="0.3">
      <c r="K307" s="12"/>
    </row>
    <row r="308" spans="11:11" x14ac:dyDescent="0.3">
      <c r="K308" s="12"/>
    </row>
    <row r="309" spans="11:11" x14ac:dyDescent="0.3">
      <c r="K309" s="12"/>
    </row>
    <row r="310" spans="11:11" x14ac:dyDescent="0.3">
      <c r="K310" s="12"/>
    </row>
    <row r="311" spans="11:11" x14ac:dyDescent="0.3">
      <c r="K311" s="12"/>
    </row>
    <row r="312" spans="11:11" x14ac:dyDescent="0.3">
      <c r="K312" s="12"/>
    </row>
    <row r="313" spans="11:11" x14ac:dyDescent="0.3">
      <c r="K313" s="12"/>
    </row>
    <row r="314" spans="11:11" x14ac:dyDescent="0.3">
      <c r="K314" s="12"/>
    </row>
    <row r="315" spans="11:11" x14ac:dyDescent="0.3">
      <c r="K315" s="12"/>
    </row>
    <row r="316" spans="11:11" x14ac:dyDescent="0.3">
      <c r="K316" s="12"/>
    </row>
    <row r="317" spans="11:11" x14ac:dyDescent="0.3">
      <c r="K317" s="12"/>
    </row>
    <row r="318" spans="11:11" x14ac:dyDescent="0.3">
      <c r="K318" s="12"/>
    </row>
    <row r="319" spans="11:11" x14ac:dyDescent="0.3">
      <c r="K319" s="12"/>
    </row>
    <row r="320" spans="11:11" x14ac:dyDescent="0.3">
      <c r="K320" s="12"/>
    </row>
    <row r="321" spans="1:13" s="15" customFormat="1" x14ac:dyDescent="0.3">
      <c r="H321" s="16"/>
      <c r="K321" s="12"/>
    </row>
    <row r="322" spans="1:13" x14ac:dyDescent="0.3">
      <c r="A322" s="9"/>
      <c r="B322" s="9"/>
      <c r="C322" s="9"/>
      <c r="D322" s="9"/>
      <c r="E322" s="9"/>
      <c r="K322" s="12"/>
      <c r="L322" s="13"/>
      <c r="M322" s="14"/>
    </row>
    <row r="323" spans="1:13" x14ac:dyDescent="0.3">
      <c r="K323" s="12"/>
    </row>
    <row r="324" spans="1:13" x14ac:dyDescent="0.3">
      <c r="K324" s="12"/>
    </row>
    <row r="325" spans="1:13" x14ac:dyDescent="0.3">
      <c r="K325" s="12"/>
    </row>
    <row r="326" spans="1:13" x14ac:dyDescent="0.3">
      <c r="K326" s="12"/>
    </row>
    <row r="327" spans="1:13" x14ac:dyDescent="0.3">
      <c r="K327" s="12"/>
    </row>
    <row r="328" spans="1:13" x14ac:dyDescent="0.3">
      <c r="K328" s="12"/>
    </row>
    <row r="329" spans="1:13" x14ac:dyDescent="0.3">
      <c r="K329" s="12"/>
    </row>
    <row r="330" spans="1:13" x14ac:dyDescent="0.3">
      <c r="K330" s="12"/>
    </row>
    <row r="331" spans="1:13" x14ac:dyDescent="0.3">
      <c r="K331" s="12"/>
    </row>
    <row r="332" spans="1:13" x14ac:dyDescent="0.3">
      <c r="K332" s="12"/>
    </row>
    <row r="333" spans="1:13" x14ac:dyDescent="0.3">
      <c r="K333" s="12"/>
    </row>
    <row r="334" spans="1:13" x14ac:dyDescent="0.3">
      <c r="K334" s="12"/>
    </row>
    <row r="335" spans="1:13" x14ac:dyDescent="0.3">
      <c r="K335" s="12"/>
    </row>
    <row r="336" spans="1:13" x14ac:dyDescent="0.3">
      <c r="K336" s="12"/>
    </row>
    <row r="337" spans="11:11" x14ac:dyDescent="0.3">
      <c r="K337" s="12"/>
    </row>
    <row r="338" spans="11:11" x14ac:dyDescent="0.3">
      <c r="K338" s="12"/>
    </row>
    <row r="339" spans="11:11" x14ac:dyDescent="0.3">
      <c r="K339" s="12"/>
    </row>
    <row r="340" spans="11:11" x14ac:dyDescent="0.3">
      <c r="K340" s="12"/>
    </row>
    <row r="341" spans="11:11" x14ac:dyDescent="0.3">
      <c r="K341" s="12"/>
    </row>
    <row r="342" spans="11:11" x14ac:dyDescent="0.3">
      <c r="K342" s="12"/>
    </row>
    <row r="343" spans="11:11" x14ac:dyDescent="0.3">
      <c r="K343" s="12"/>
    </row>
    <row r="344" spans="11:11" x14ac:dyDescent="0.3">
      <c r="K344" s="12"/>
    </row>
    <row r="345" spans="11:11" x14ac:dyDescent="0.3">
      <c r="K345" s="12"/>
    </row>
    <row r="346" spans="11:11" x14ac:dyDescent="0.3">
      <c r="K346" s="12"/>
    </row>
    <row r="347" spans="11:11" x14ac:dyDescent="0.3">
      <c r="K347" s="12"/>
    </row>
    <row r="348" spans="11:11" x14ac:dyDescent="0.3">
      <c r="K348" s="12"/>
    </row>
    <row r="349" spans="11:11" x14ac:dyDescent="0.3">
      <c r="K349" s="12"/>
    </row>
    <row r="350" spans="11:11" x14ac:dyDescent="0.3">
      <c r="K350" s="12"/>
    </row>
    <row r="351" spans="11:11" x14ac:dyDescent="0.3">
      <c r="K351" s="12"/>
    </row>
    <row r="352" spans="11:11" x14ac:dyDescent="0.3">
      <c r="K352" s="12"/>
    </row>
    <row r="353" spans="11:11" x14ac:dyDescent="0.3">
      <c r="K353" s="12"/>
    </row>
    <row r="354" spans="11:11" x14ac:dyDescent="0.3">
      <c r="K354" s="12"/>
    </row>
    <row r="355" spans="11:11" x14ac:dyDescent="0.3">
      <c r="K355" s="12"/>
    </row>
    <row r="356" spans="11:11" x14ac:dyDescent="0.3">
      <c r="K356" s="12"/>
    </row>
    <row r="357" spans="11:11" x14ac:dyDescent="0.3">
      <c r="K357" s="12"/>
    </row>
    <row r="358" spans="11:11" x14ac:dyDescent="0.3">
      <c r="K358" s="12"/>
    </row>
    <row r="359" spans="11:11" x14ac:dyDescent="0.3">
      <c r="K359" s="12"/>
    </row>
    <row r="360" spans="11:11" x14ac:dyDescent="0.3">
      <c r="K360" s="12"/>
    </row>
    <row r="361" spans="11:11" x14ac:dyDescent="0.3">
      <c r="K361" s="12"/>
    </row>
    <row r="362" spans="11:11" x14ac:dyDescent="0.3">
      <c r="K362" s="12"/>
    </row>
    <row r="363" spans="11:11" x14ac:dyDescent="0.3">
      <c r="K363" s="12"/>
    </row>
    <row r="364" spans="11:11" x14ac:dyDescent="0.3">
      <c r="K364" s="12"/>
    </row>
    <row r="365" spans="11:11" x14ac:dyDescent="0.3">
      <c r="K365" s="12"/>
    </row>
    <row r="366" spans="11:11" x14ac:dyDescent="0.3">
      <c r="K366" s="12"/>
    </row>
  </sheetData>
  <conditionalFormatting sqref="K1:K366">
    <cfRule type="cellIs" dxfId="0" priority="1" operator="notBetween">
      <formula>0</formula>
      <formula>90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CTR</vt:lpstr>
      <vt:lpstr>2h</vt:lpstr>
      <vt:lpstr>1.50.5</vt:lpstr>
      <vt:lpstr>Fig fiji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Chloë Deelkens</dc:creator>
  <dc:description/>
  <cp:lastModifiedBy>Chloë Deelkens</cp:lastModifiedBy>
  <cp:revision>6</cp:revision>
  <dcterms:created xsi:type="dcterms:W3CDTF">2023-08-09T09:16:43Z</dcterms:created>
  <dcterms:modified xsi:type="dcterms:W3CDTF">2025-03-17T16:48:28Z</dcterms:modified>
  <dc:language>en-US</dc:language>
</cp:coreProperties>
</file>